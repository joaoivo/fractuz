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Link\Favs\Desktop\"/>
    </mc:Choice>
  </mc:AlternateContent>
  <xr:revisionPtr revIDLastSave="0" documentId="13_ncr:1_{A8675528-E871-43C6-94CA-BC5105182B80}" xr6:coauthVersionLast="47" xr6:coauthVersionMax="47" xr10:uidLastSave="{00000000-0000-0000-0000-000000000000}"/>
  <bookViews>
    <workbookView xWindow="-120" yWindow="-120" windowWidth="20730" windowHeight="11310" activeTab="1" xr2:uid="{DC0C5569-C997-44A0-B24C-1BFA20CDAD32}"/>
  </bookViews>
  <sheets>
    <sheet name="Tables" sheetId="2" r:id="rId1"/>
    <sheet name="Fields" sheetId="1" r:id="rId2"/>
    <sheet name="Indexes" sheetId="3" r:id="rId3"/>
    <sheet name="Enumerate" sheetId="4" r:id="rId4"/>
  </sheets>
  <functionGroups builtInGroupCount="19"/>
  <definedNames>
    <definedName name="_xlnm._FilterDatabase" localSheetId="1" hidden="1">Fields!$A$1:$AH$226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4" l="1"/>
  <c r="H25" i="4"/>
  <c r="H24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AC151" i="1"/>
  <c r="AA151" i="1"/>
  <c r="AB151" i="1" s="1"/>
  <c r="Z151" i="1"/>
  <c r="X151" i="1"/>
  <c r="Y151" i="1" s="1"/>
  <c r="W151" i="1"/>
  <c r="V151" i="1"/>
  <c r="C151" i="1"/>
  <c r="D151" i="1" s="1" a="1"/>
  <c r="D151" i="1" s="1"/>
  <c r="F151" i="1" s="1"/>
  <c r="AC221" i="1"/>
  <c r="AA221" i="1"/>
  <c r="Z221" i="1"/>
  <c r="W221" i="1"/>
  <c r="C221" i="1"/>
  <c r="D221" i="1" s="1" a="1"/>
  <c r="D221" i="1" s="1"/>
  <c r="F221" i="1" s="1"/>
  <c r="V221" i="1" s="1"/>
  <c r="AC137" i="1"/>
  <c r="AA137" i="1"/>
  <c r="AB137" i="1" s="1"/>
  <c r="Z137" i="1"/>
  <c r="X137" i="1"/>
  <c r="Y137" i="1" s="1"/>
  <c r="W137" i="1"/>
  <c r="V137" i="1"/>
  <c r="C137" i="1"/>
  <c r="D137" i="1" s="1" a="1"/>
  <c r="D137" i="1" s="1"/>
  <c r="F137" i="1" s="1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2" i="4"/>
  <c r="A3" i="4" s="1"/>
  <c r="AC204" i="1"/>
  <c r="AA204" i="1"/>
  <c r="Z204" i="1"/>
  <c r="W204" i="1"/>
  <c r="C204" i="1"/>
  <c r="D204" i="1" s="1" a="1"/>
  <c r="D204" i="1" s="1"/>
  <c r="F204" i="1" s="1"/>
  <c r="V204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180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2" i="1"/>
  <c r="AC223" i="1"/>
  <c r="AC224" i="1"/>
  <c r="AC225" i="1"/>
  <c r="AC226" i="1"/>
  <c r="AC2" i="1"/>
  <c r="AA226" i="1"/>
  <c r="Z226" i="1"/>
  <c r="W226" i="1"/>
  <c r="AA225" i="1"/>
  <c r="AB225" i="1" s="1"/>
  <c r="Z225" i="1"/>
  <c r="X225" i="1"/>
  <c r="Y225" i="1" s="1"/>
  <c r="W225" i="1"/>
  <c r="AA224" i="1"/>
  <c r="Z224" i="1"/>
  <c r="W224" i="1"/>
  <c r="AA223" i="1"/>
  <c r="AB223" i="1" s="1"/>
  <c r="Z223" i="1"/>
  <c r="X223" i="1"/>
  <c r="Y223" i="1" s="1"/>
  <c r="W223" i="1"/>
  <c r="AA222" i="1"/>
  <c r="Z222" i="1"/>
  <c r="W222" i="1"/>
  <c r="AA220" i="1"/>
  <c r="AB220" i="1" s="1"/>
  <c r="Z220" i="1"/>
  <c r="X220" i="1"/>
  <c r="Y220" i="1" s="1"/>
  <c r="W220" i="1"/>
  <c r="AA219" i="1"/>
  <c r="Z219" i="1"/>
  <c r="W219" i="1"/>
  <c r="AA218" i="1"/>
  <c r="AB218" i="1" s="1"/>
  <c r="Z218" i="1"/>
  <c r="X218" i="1"/>
  <c r="Y218" i="1" s="1"/>
  <c r="W218" i="1"/>
  <c r="AA217" i="1"/>
  <c r="Z217" i="1"/>
  <c r="W217" i="1"/>
  <c r="AA216" i="1"/>
  <c r="AB216" i="1" s="1"/>
  <c r="Z216" i="1"/>
  <c r="X216" i="1"/>
  <c r="Y216" i="1" s="1"/>
  <c r="W216" i="1"/>
  <c r="AA215" i="1"/>
  <c r="Z215" i="1"/>
  <c r="W215" i="1"/>
  <c r="AA214" i="1"/>
  <c r="AB214" i="1" s="1"/>
  <c r="Z214" i="1"/>
  <c r="X214" i="1"/>
  <c r="Y214" i="1" s="1"/>
  <c r="W214" i="1"/>
  <c r="AA213" i="1"/>
  <c r="Z213" i="1"/>
  <c r="W213" i="1"/>
  <c r="AA212" i="1"/>
  <c r="Z212" i="1"/>
  <c r="W212" i="1"/>
  <c r="AA211" i="1"/>
  <c r="AB211" i="1" s="1"/>
  <c r="Z211" i="1"/>
  <c r="X211" i="1"/>
  <c r="Y211" i="1" s="1"/>
  <c r="W211" i="1"/>
  <c r="AA210" i="1"/>
  <c r="Z210" i="1"/>
  <c r="W210" i="1"/>
  <c r="AA209" i="1"/>
  <c r="AB209" i="1" s="1"/>
  <c r="Z209" i="1"/>
  <c r="X209" i="1"/>
  <c r="Y209" i="1" s="1"/>
  <c r="W209" i="1"/>
  <c r="AA208" i="1"/>
  <c r="Z208" i="1"/>
  <c r="W208" i="1"/>
  <c r="AA207" i="1"/>
  <c r="AB207" i="1" s="1"/>
  <c r="Z207" i="1"/>
  <c r="X207" i="1"/>
  <c r="Y207" i="1" s="1"/>
  <c r="W207" i="1"/>
  <c r="AA206" i="1"/>
  <c r="AB206" i="1" s="1"/>
  <c r="Z206" i="1"/>
  <c r="X206" i="1"/>
  <c r="Y206" i="1" s="1"/>
  <c r="W206" i="1"/>
  <c r="AA205" i="1"/>
  <c r="AB205" i="1" s="1"/>
  <c r="Z205" i="1"/>
  <c r="X205" i="1"/>
  <c r="Y205" i="1" s="1"/>
  <c r="W205" i="1"/>
  <c r="AA203" i="1"/>
  <c r="Z203" i="1"/>
  <c r="W203" i="1"/>
  <c r="AA202" i="1"/>
  <c r="AB202" i="1" s="1"/>
  <c r="Z202" i="1"/>
  <c r="X202" i="1"/>
  <c r="Y202" i="1" s="1"/>
  <c r="W202" i="1"/>
  <c r="AA201" i="1"/>
  <c r="Z201" i="1"/>
  <c r="W201" i="1"/>
  <c r="AA200" i="1"/>
  <c r="AB200" i="1" s="1"/>
  <c r="Z200" i="1"/>
  <c r="X200" i="1"/>
  <c r="Y200" i="1" s="1"/>
  <c r="W200" i="1"/>
  <c r="AA199" i="1"/>
  <c r="Z199" i="1"/>
  <c r="W199" i="1"/>
  <c r="AA198" i="1"/>
  <c r="AB198" i="1" s="1"/>
  <c r="Z198" i="1"/>
  <c r="X198" i="1"/>
  <c r="Y198" i="1" s="1"/>
  <c r="W198" i="1"/>
  <c r="AA197" i="1"/>
  <c r="AB197" i="1" s="1"/>
  <c r="Z197" i="1"/>
  <c r="X197" i="1"/>
  <c r="Y197" i="1" s="1"/>
  <c r="W197" i="1"/>
  <c r="AA196" i="1"/>
  <c r="AB196" i="1" s="1"/>
  <c r="Z196" i="1"/>
  <c r="X196" i="1"/>
  <c r="Y196" i="1" s="1"/>
  <c r="W196" i="1"/>
  <c r="AA195" i="1"/>
  <c r="AB195" i="1" s="1"/>
  <c r="Z195" i="1"/>
  <c r="X195" i="1"/>
  <c r="Y195" i="1" s="1"/>
  <c r="W195" i="1"/>
  <c r="AA194" i="1"/>
  <c r="Z194" i="1"/>
  <c r="W194" i="1"/>
  <c r="AA193" i="1"/>
  <c r="AB193" i="1" s="1"/>
  <c r="Z193" i="1"/>
  <c r="X193" i="1"/>
  <c r="Y193" i="1" s="1"/>
  <c r="W193" i="1"/>
  <c r="AA192" i="1"/>
  <c r="Z192" i="1"/>
  <c r="W192" i="1"/>
  <c r="AA191" i="1"/>
  <c r="AB191" i="1" s="1"/>
  <c r="Z191" i="1"/>
  <c r="X191" i="1"/>
  <c r="Y191" i="1" s="1"/>
  <c r="W191" i="1"/>
  <c r="AA190" i="1"/>
  <c r="AB190" i="1" s="1"/>
  <c r="Z190" i="1"/>
  <c r="X190" i="1"/>
  <c r="Y190" i="1" s="1"/>
  <c r="W190" i="1"/>
  <c r="AA189" i="1"/>
  <c r="AB189" i="1" s="1"/>
  <c r="Z189" i="1"/>
  <c r="X189" i="1"/>
  <c r="Y189" i="1" s="1"/>
  <c r="W189" i="1"/>
  <c r="AA188" i="1"/>
  <c r="AB188" i="1" s="1"/>
  <c r="Z188" i="1"/>
  <c r="X188" i="1"/>
  <c r="Y188" i="1" s="1"/>
  <c r="W188" i="1"/>
  <c r="AA187" i="1"/>
  <c r="Z187" i="1"/>
  <c r="W187" i="1"/>
  <c r="AA186" i="1"/>
  <c r="AB186" i="1" s="1"/>
  <c r="Z186" i="1"/>
  <c r="X186" i="1"/>
  <c r="Y186" i="1" s="1"/>
  <c r="W186" i="1"/>
  <c r="AA185" i="1"/>
  <c r="Z185" i="1"/>
  <c r="W185" i="1"/>
  <c r="AA184" i="1"/>
  <c r="AB184" i="1" s="1"/>
  <c r="Z184" i="1"/>
  <c r="X184" i="1"/>
  <c r="Y184" i="1" s="1"/>
  <c r="W184" i="1"/>
  <c r="AA183" i="1"/>
  <c r="Z183" i="1"/>
  <c r="W183" i="1"/>
  <c r="AA182" i="1"/>
  <c r="AB182" i="1" s="1"/>
  <c r="Z182" i="1"/>
  <c r="X182" i="1"/>
  <c r="Y182" i="1" s="1"/>
  <c r="W182" i="1"/>
  <c r="AA181" i="1"/>
  <c r="AB181" i="1" s="1"/>
  <c r="Z181" i="1"/>
  <c r="X181" i="1"/>
  <c r="Y181" i="1" s="1"/>
  <c r="W181" i="1"/>
  <c r="AA179" i="1"/>
  <c r="Z179" i="1"/>
  <c r="W179" i="1"/>
  <c r="AA178" i="1"/>
  <c r="Z178" i="1"/>
  <c r="W178" i="1"/>
  <c r="AA177" i="1"/>
  <c r="AB177" i="1" s="1"/>
  <c r="Z177" i="1"/>
  <c r="X177" i="1"/>
  <c r="Y177" i="1" s="1"/>
  <c r="W177" i="1"/>
  <c r="AA176" i="1"/>
  <c r="Z176" i="1"/>
  <c r="W176" i="1"/>
  <c r="AA175" i="1"/>
  <c r="AB175" i="1" s="1"/>
  <c r="Z175" i="1"/>
  <c r="X175" i="1"/>
  <c r="Y175" i="1" s="1"/>
  <c r="W175" i="1"/>
  <c r="AA174" i="1"/>
  <c r="Z174" i="1"/>
  <c r="W174" i="1"/>
  <c r="AA173" i="1"/>
  <c r="AB173" i="1" s="1"/>
  <c r="Z173" i="1"/>
  <c r="X173" i="1"/>
  <c r="Y173" i="1" s="1"/>
  <c r="W173" i="1"/>
  <c r="AA172" i="1"/>
  <c r="AB172" i="1" s="1"/>
  <c r="Z172" i="1"/>
  <c r="X172" i="1"/>
  <c r="Y172" i="1" s="1"/>
  <c r="W172" i="1"/>
  <c r="AA171" i="1"/>
  <c r="AB171" i="1" s="1"/>
  <c r="Z171" i="1"/>
  <c r="X171" i="1"/>
  <c r="Y171" i="1" s="1"/>
  <c r="W171" i="1"/>
  <c r="AA170" i="1"/>
  <c r="AB170" i="1" s="1"/>
  <c r="Z170" i="1"/>
  <c r="X170" i="1"/>
  <c r="Y170" i="1" s="1"/>
  <c r="W170" i="1"/>
  <c r="AA169" i="1"/>
  <c r="Z169" i="1"/>
  <c r="W169" i="1"/>
  <c r="AA168" i="1"/>
  <c r="AB168" i="1" s="1"/>
  <c r="Z168" i="1"/>
  <c r="X168" i="1"/>
  <c r="Y168" i="1" s="1"/>
  <c r="W168" i="1"/>
  <c r="AA167" i="1"/>
  <c r="Z167" i="1"/>
  <c r="W167" i="1"/>
  <c r="AA166" i="1"/>
  <c r="AB166" i="1" s="1"/>
  <c r="Z166" i="1"/>
  <c r="X166" i="1"/>
  <c r="Y166" i="1" s="1"/>
  <c r="W166" i="1"/>
  <c r="AA165" i="1"/>
  <c r="AB165" i="1" s="1"/>
  <c r="Z165" i="1"/>
  <c r="X165" i="1"/>
  <c r="Y165" i="1" s="1"/>
  <c r="W165" i="1"/>
  <c r="AA164" i="1"/>
  <c r="AB164" i="1" s="1"/>
  <c r="Z164" i="1"/>
  <c r="X164" i="1"/>
  <c r="Y164" i="1" s="1"/>
  <c r="W164" i="1"/>
  <c r="AA163" i="1"/>
  <c r="AB163" i="1" s="1"/>
  <c r="Z163" i="1"/>
  <c r="X163" i="1"/>
  <c r="Y163" i="1" s="1"/>
  <c r="W163" i="1"/>
  <c r="AA162" i="1"/>
  <c r="AB162" i="1" s="1"/>
  <c r="Z162" i="1"/>
  <c r="X162" i="1"/>
  <c r="Y162" i="1" s="1"/>
  <c r="W162" i="1"/>
  <c r="AA161" i="1"/>
  <c r="AB161" i="1" s="1"/>
  <c r="Z161" i="1"/>
  <c r="X161" i="1"/>
  <c r="Y161" i="1" s="1"/>
  <c r="W161" i="1"/>
  <c r="AA160" i="1"/>
  <c r="AB160" i="1" s="1"/>
  <c r="Z160" i="1"/>
  <c r="X160" i="1"/>
  <c r="Y160" i="1" s="1"/>
  <c r="W160" i="1"/>
  <c r="AA159" i="1"/>
  <c r="AB159" i="1" s="1"/>
  <c r="Z159" i="1"/>
  <c r="X159" i="1"/>
  <c r="Y159" i="1" s="1"/>
  <c r="W159" i="1"/>
  <c r="AA158" i="1"/>
  <c r="AB158" i="1" s="1"/>
  <c r="Z158" i="1"/>
  <c r="X158" i="1"/>
  <c r="Y158" i="1" s="1"/>
  <c r="W158" i="1"/>
  <c r="AA157" i="1"/>
  <c r="Z157" i="1"/>
  <c r="W157" i="1"/>
  <c r="AA156" i="1"/>
  <c r="AB156" i="1" s="1"/>
  <c r="Z156" i="1"/>
  <c r="X156" i="1"/>
  <c r="Y156" i="1" s="1"/>
  <c r="W156" i="1"/>
  <c r="AA155" i="1"/>
  <c r="Z155" i="1"/>
  <c r="W155" i="1"/>
  <c r="AA154" i="1"/>
  <c r="AB154" i="1" s="1"/>
  <c r="Z154" i="1"/>
  <c r="X154" i="1"/>
  <c r="Y154" i="1" s="1"/>
  <c r="W154" i="1"/>
  <c r="AA153" i="1"/>
  <c r="AB153" i="1" s="1"/>
  <c r="Z153" i="1"/>
  <c r="X153" i="1"/>
  <c r="Y153" i="1" s="1"/>
  <c r="W153" i="1"/>
  <c r="AA152" i="1"/>
  <c r="AB152" i="1" s="1"/>
  <c r="Z152" i="1"/>
  <c r="X152" i="1"/>
  <c r="Y152" i="1" s="1"/>
  <c r="W152" i="1"/>
  <c r="AA150" i="1"/>
  <c r="AB150" i="1" s="1"/>
  <c r="Z150" i="1"/>
  <c r="X150" i="1"/>
  <c r="Y150" i="1" s="1"/>
  <c r="W150" i="1"/>
  <c r="AA149" i="1"/>
  <c r="AB149" i="1" s="1"/>
  <c r="Z149" i="1"/>
  <c r="X149" i="1"/>
  <c r="Y149" i="1" s="1"/>
  <c r="W149" i="1"/>
  <c r="AA148" i="1"/>
  <c r="AB148" i="1" s="1"/>
  <c r="Z148" i="1"/>
  <c r="X148" i="1"/>
  <c r="Y148" i="1" s="1"/>
  <c r="W148" i="1"/>
  <c r="AA147" i="1"/>
  <c r="AB147" i="1" s="1"/>
  <c r="Z147" i="1"/>
  <c r="X147" i="1"/>
  <c r="Y147" i="1" s="1"/>
  <c r="W147" i="1"/>
  <c r="AA146" i="1"/>
  <c r="AB146" i="1" s="1"/>
  <c r="Z146" i="1"/>
  <c r="X146" i="1"/>
  <c r="Y146" i="1" s="1"/>
  <c r="W146" i="1"/>
  <c r="AA145" i="1"/>
  <c r="Z145" i="1"/>
  <c r="W145" i="1"/>
  <c r="AA144" i="1"/>
  <c r="AB144" i="1" s="1"/>
  <c r="Z144" i="1"/>
  <c r="X144" i="1"/>
  <c r="Y144" i="1" s="1"/>
  <c r="W144" i="1"/>
  <c r="AA143" i="1"/>
  <c r="Z143" i="1"/>
  <c r="W143" i="1"/>
  <c r="AA142" i="1"/>
  <c r="AB142" i="1" s="1"/>
  <c r="Z142" i="1"/>
  <c r="X142" i="1"/>
  <c r="Y142" i="1" s="1"/>
  <c r="W142" i="1"/>
  <c r="AA141" i="1"/>
  <c r="AB141" i="1" s="1"/>
  <c r="Z141" i="1"/>
  <c r="X141" i="1"/>
  <c r="Y141" i="1" s="1"/>
  <c r="W141" i="1"/>
  <c r="AA140" i="1"/>
  <c r="AB140" i="1" s="1"/>
  <c r="Z140" i="1"/>
  <c r="X140" i="1"/>
  <c r="Y140" i="1" s="1"/>
  <c r="W140" i="1"/>
  <c r="AA139" i="1"/>
  <c r="AB139" i="1" s="1"/>
  <c r="Z139" i="1"/>
  <c r="X139" i="1"/>
  <c r="Y139" i="1" s="1"/>
  <c r="W139" i="1"/>
  <c r="AA138" i="1"/>
  <c r="AB138" i="1" s="1"/>
  <c r="Z138" i="1"/>
  <c r="X138" i="1"/>
  <c r="Y138" i="1" s="1"/>
  <c r="W138" i="1"/>
  <c r="AA136" i="1"/>
  <c r="Z136" i="1"/>
  <c r="W136" i="1"/>
  <c r="AA135" i="1"/>
  <c r="AB135" i="1" s="1"/>
  <c r="Z135" i="1"/>
  <c r="X135" i="1"/>
  <c r="Y135" i="1" s="1"/>
  <c r="W135" i="1"/>
  <c r="AA134" i="1"/>
  <c r="AB134" i="1" s="1"/>
  <c r="Z134" i="1"/>
  <c r="X134" i="1"/>
  <c r="Y134" i="1" s="1"/>
  <c r="W134" i="1"/>
  <c r="AA133" i="1"/>
  <c r="Z133" i="1"/>
  <c r="W133" i="1"/>
  <c r="AA132" i="1"/>
  <c r="Z132" i="1"/>
  <c r="W132" i="1"/>
  <c r="AA131" i="1"/>
  <c r="Z131" i="1"/>
  <c r="W131" i="1"/>
  <c r="AA130" i="1"/>
  <c r="AB130" i="1" s="1"/>
  <c r="Z130" i="1"/>
  <c r="X130" i="1"/>
  <c r="Y130" i="1" s="1"/>
  <c r="W130" i="1"/>
  <c r="AA129" i="1"/>
  <c r="Z129" i="1"/>
  <c r="W129" i="1"/>
  <c r="AA128" i="1"/>
  <c r="AB128" i="1" s="1"/>
  <c r="Z128" i="1"/>
  <c r="X128" i="1"/>
  <c r="Y128" i="1" s="1"/>
  <c r="W128" i="1"/>
  <c r="AA127" i="1"/>
  <c r="Z127" i="1"/>
  <c r="W127" i="1"/>
  <c r="AA126" i="1"/>
  <c r="AB126" i="1" s="1"/>
  <c r="Z126" i="1"/>
  <c r="X126" i="1"/>
  <c r="Y126" i="1" s="1"/>
  <c r="W126" i="1"/>
  <c r="AA125" i="1"/>
  <c r="AB125" i="1" s="1"/>
  <c r="Z125" i="1"/>
  <c r="X125" i="1"/>
  <c r="Y125" i="1" s="1"/>
  <c r="W125" i="1"/>
  <c r="AA124" i="1"/>
  <c r="AB124" i="1" s="1"/>
  <c r="Z124" i="1"/>
  <c r="X124" i="1"/>
  <c r="Y124" i="1" s="1"/>
  <c r="W124" i="1"/>
  <c r="AA123" i="1"/>
  <c r="AB123" i="1" s="1"/>
  <c r="Z123" i="1"/>
  <c r="X123" i="1"/>
  <c r="Y123" i="1" s="1"/>
  <c r="W123" i="1"/>
  <c r="AA122" i="1"/>
  <c r="Z122" i="1"/>
  <c r="W122" i="1"/>
  <c r="AA121" i="1"/>
  <c r="AB121" i="1" s="1"/>
  <c r="Z121" i="1"/>
  <c r="X121" i="1"/>
  <c r="Y121" i="1" s="1"/>
  <c r="W121" i="1"/>
  <c r="AA120" i="1"/>
  <c r="AB120" i="1" s="1"/>
  <c r="Z120" i="1"/>
  <c r="X120" i="1"/>
  <c r="Y120" i="1" s="1"/>
  <c r="W120" i="1"/>
  <c r="AA119" i="1"/>
  <c r="AB119" i="1" s="1"/>
  <c r="Z119" i="1"/>
  <c r="X119" i="1"/>
  <c r="Y119" i="1" s="1"/>
  <c r="W119" i="1"/>
  <c r="AA118" i="1"/>
  <c r="AB118" i="1" s="1"/>
  <c r="Z118" i="1"/>
  <c r="X118" i="1"/>
  <c r="Y118" i="1" s="1"/>
  <c r="W118" i="1"/>
  <c r="AA117" i="1"/>
  <c r="AB117" i="1" s="1"/>
  <c r="Z117" i="1"/>
  <c r="X117" i="1"/>
  <c r="Y117" i="1" s="1"/>
  <c r="W117" i="1"/>
  <c r="AA116" i="1"/>
  <c r="AB116" i="1" s="1"/>
  <c r="Z116" i="1"/>
  <c r="X116" i="1"/>
  <c r="Y116" i="1" s="1"/>
  <c r="W116" i="1"/>
  <c r="AA115" i="1"/>
  <c r="AB115" i="1" s="1"/>
  <c r="Z115" i="1"/>
  <c r="X115" i="1"/>
  <c r="Y115" i="1" s="1"/>
  <c r="W115" i="1"/>
  <c r="AA114" i="1"/>
  <c r="AB114" i="1" s="1"/>
  <c r="Z114" i="1"/>
  <c r="X114" i="1"/>
  <c r="Y114" i="1" s="1"/>
  <c r="W114" i="1"/>
  <c r="AA113" i="1"/>
  <c r="AB113" i="1" s="1"/>
  <c r="Z113" i="1"/>
  <c r="X113" i="1"/>
  <c r="Y113" i="1" s="1"/>
  <c r="W113" i="1"/>
  <c r="AA112" i="1"/>
  <c r="AB112" i="1" s="1"/>
  <c r="Z112" i="1"/>
  <c r="X112" i="1"/>
  <c r="Y112" i="1" s="1"/>
  <c r="W112" i="1"/>
  <c r="AA111" i="1"/>
  <c r="AB111" i="1" s="1"/>
  <c r="Z111" i="1"/>
  <c r="X111" i="1"/>
  <c r="Y111" i="1" s="1"/>
  <c r="W111" i="1"/>
  <c r="AA110" i="1"/>
  <c r="AB110" i="1" s="1"/>
  <c r="Z110" i="1"/>
  <c r="X110" i="1"/>
  <c r="Y110" i="1" s="1"/>
  <c r="W110" i="1"/>
  <c r="AA109" i="1"/>
  <c r="AB109" i="1" s="1"/>
  <c r="Z109" i="1"/>
  <c r="X109" i="1"/>
  <c r="Y109" i="1" s="1"/>
  <c r="W109" i="1"/>
  <c r="AA108" i="1"/>
  <c r="AB108" i="1" s="1"/>
  <c r="Z108" i="1"/>
  <c r="X108" i="1"/>
  <c r="Y108" i="1" s="1"/>
  <c r="W108" i="1"/>
  <c r="AA107" i="1"/>
  <c r="AB107" i="1" s="1"/>
  <c r="Z107" i="1"/>
  <c r="X107" i="1"/>
  <c r="Y107" i="1" s="1"/>
  <c r="W107" i="1"/>
  <c r="AA106" i="1"/>
  <c r="Z106" i="1"/>
  <c r="W106" i="1"/>
  <c r="AA105" i="1"/>
  <c r="AB105" i="1" s="1"/>
  <c r="Z105" i="1"/>
  <c r="X105" i="1"/>
  <c r="Y105" i="1" s="1"/>
  <c r="W105" i="1"/>
  <c r="AA104" i="1"/>
  <c r="Z104" i="1"/>
  <c r="W104" i="1"/>
  <c r="AA103" i="1"/>
  <c r="AB103" i="1" s="1"/>
  <c r="Z103" i="1"/>
  <c r="X103" i="1"/>
  <c r="Y103" i="1" s="1"/>
  <c r="W103" i="1"/>
  <c r="AA102" i="1"/>
  <c r="AB102" i="1" s="1"/>
  <c r="Z102" i="1"/>
  <c r="X102" i="1"/>
  <c r="Y102" i="1" s="1"/>
  <c r="W102" i="1"/>
  <c r="AA101" i="1"/>
  <c r="AB101" i="1" s="1"/>
  <c r="Z101" i="1"/>
  <c r="X101" i="1"/>
  <c r="Y101" i="1" s="1"/>
  <c r="W101" i="1"/>
  <c r="AA100" i="1"/>
  <c r="Z100" i="1"/>
  <c r="W100" i="1"/>
  <c r="AA99" i="1"/>
  <c r="AB99" i="1" s="1"/>
  <c r="Z99" i="1"/>
  <c r="X99" i="1"/>
  <c r="Y99" i="1" s="1"/>
  <c r="W99" i="1"/>
  <c r="AA98" i="1"/>
  <c r="AB98" i="1" s="1"/>
  <c r="Z98" i="1"/>
  <c r="X98" i="1"/>
  <c r="Y98" i="1" s="1"/>
  <c r="W98" i="1"/>
  <c r="AA97" i="1"/>
  <c r="AB97" i="1" s="1"/>
  <c r="Z97" i="1"/>
  <c r="X97" i="1"/>
  <c r="Y97" i="1" s="1"/>
  <c r="W97" i="1"/>
  <c r="AA96" i="1"/>
  <c r="AB96" i="1" s="1"/>
  <c r="Z96" i="1"/>
  <c r="X96" i="1"/>
  <c r="Y96" i="1" s="1"/>
  <c r="W96" i="1"/>
  <c r="AA95" i="1"/>
  <c r="Z95" i="1"/>
  <c r="W95" i="1"/>
  <c r="AA94" i="1"/>
  <c r="AB94" i="1" s="1"/>
  <c r="Z94" i="1"/>
  <c r="X94" i="1"/>
  <c r="Y94" i="1" s="1"/>
  <c r="W94" i="1"/>
  <c r="AA93" i="1"/>
  <c r="Z93" i="1"/>
  <c r="W93" i="1"/>
  <c r="AA92" i="1"/>
  <c r="AB92" i="1" s="1"/>
  <c r="Z92" i="1"/>
  <c r="X92" i="1"/>
  <c r="Y92" i="1" s="1"/>
  <c r="W92" i="1"/>
  <c r="AA91" i="1"/>
  <c r="AB91" i="1" s="1"/>
  <c r="Z91" i="1"/>
  <c r="X91" i="1"/>
  <c r="Y91" i="1" s="1"/>
  <c r="W91" i="1"/>
  <c r="AA90" i="1"/>
  <c r="AB90" i="1" s="1"/>
  <c r="Z90" i="1"/>
  <c r="X90" i="1"/>
  <c r="Y90" i="1" s="1"/>
  <c r="W90" i="1"/>
  <c r="AA89" i="1"/>
  <c r="AB89" i="1" s="1"/>
  <c r="Z89" i="1"/>
  <c r="X89" i="1"/>
  <c r="Y89" i="1" s="1"/>
  <c r="W89" i="1"/>
  <c r="AA88" i="1"/>
  <c r="AB88" i="1" s="1"/>
  <c r="Z88" i="1"/>
  <c r="X88" i="1"/>
  <c r="Y88" i="1" s="1"/>
  <c r="W88" i="1"/>
  <c r="AA87" i="1"/>
  <c r="AB87" i="1" s="1"/>
  <c r="Z87" i="1"/>
  <c r="X87" i="1"/>
  <c r="Y87" i="1" s="1"/>
  <c r="W87" i="1"/>
  <c r="AA86" i="1"/>
  <c r="AB86" i="1" s="1"/>
  <c r="Z86" i="1"/>
  <c r="X86" i="1"/>
  <c r="Y86" i="1" s="1"/>
  <c r="W86" i="1"/>
  <c r="AA85" i="1"/>
  <c r="AB85" i="1" s="1"/>
  <c r="Z85" i="1"/>
  <c r="X85" i="1"/>
  <c r="Y85" i="1" s="1"/>
  <c r="W85" i="1"/>
  <c r="AA84" i="1"/>
  <c r="AB84" i="1" s="1"/>
  <c r="Z84" i="1"/>
  <c r="X84" i="1"/>
  <c r="Y84" i="1" s="1"/>
  <c r="W84" i="1"/>
  <c r="AA83" i="1"/>
  <c r="AB83" i="1" s="1"/>
  <c r="Z83" i="1"/>
  <c r="X83" i="1"/>
  <c r="Y83" i="1" s="1"/>
  <c r="W83" i="1"/>
  <c r="AA82" i="1"/>
  <c r="AB82" i="1" s="1"/>
  <c r="Z82" i="1"/>
  <c r="X82" i="1"/>
  <c r="Y82" i="1" s="1"/>
  <c r="W82" i="1"/>
  <c r="AA81" i="1"/>
  <c r="Z81" i="1"/>
  <c r="W81" i="1"/>
  <c r="AA80" i="1"/>
  <c r="AB80" i="1" s="1"/>
  <c r="Z80" i="1"/>
  <c r="X80" i="1"/>
  <c r="Y80" i="1" s="1"/>
  <c r="W80" i="1"/>
  <c r="AA79" i="1"/>
  <c r="Z79" i="1"/>
  <c r="W79" i="1"/>
  <c r="AA78" i="1"/>
  <c r="AB78" i="1" s="1"/>
  <c r="Z78" i="1"/>
  <c r="X78" i="1"/>
  <c r="Y78" i="1" s="1"/>
  <c r="W78" i="1"/>
  <c r="AA77" i="1"/>
  <c r="AB77" i="1" s="1"/>
  <c r="Z77" i="1"/>
  <c r="X77" i="1"/>
  <c r="Y77" i="1" s="1"/>
  <c r="W77" i="1"/>
  <c r="AA76" i="1"/>
  <c r="AB76" i="1" s="1"/>
  <c r="Z76" i="1"/>
  <c r="X76" i="1"/>
  <c r="Y76" i="1" s="1"/>
  <c r="W76" i="1"/>
  <c r="AA75" i="1"/>
  <c r="AB75" i="1" s="1"/>
  <c r="Z75" i="1"/>
  <c r="X75" i="1"/>
  <c r="Y75" i="1" s="1"/>
  <c r="W75" i="1"/>
  <c r="AA74" i="1"/>
  <c r="AB74" i="1" s="1"/>
  <c r="Z74" i="1"/>
  <c r="X74" i="1"/>
  <c r="Y74" i="1" s="1"/>
  <c r="W74" i="1"/>
  <c r="AA73" i="1"/>
  <c r="AB73" i="1" s="1"/>
  <c r="Z73" i="1"/>
  <c r="X73" i="1"/>
  <c r="Y73" i="1" s="1"/>
  <c r="W73" i="1"/>
  <c r="AA72" i="1"/>
  <c r="Z72" i="1"/>
  <c r="W72" i="1"/>
  <c r="AA71" i="1"/>
  <c r="AB71" i="1" s="1"/>
  <c r="Z71" i="1"/>
  <c r="X71" i="1"/>
  <c r="Y71" i="1" s="1"/>
  <c r="W71" i="1"/>
  <c r="AA70" i="1"/>
  <c r="Z70" i="1"/>
  <c r="W70" i="1"/>
  <c r="AA69" i="1"/>
  <c r="AB69" i="1" s="1"/>
  <c r="Z69" i="1"/>
  <c r="X69" i="1"/>
  <c r="Y69" i="1" s="1"/>
  <c r="W69" i="1"/>
  <c r="AA68" i="1"/>
  <c r="AB68" i="1" s="1"/>
  <c r="Z68" i="1"/>
  <c r="X68" i="1"/>
  <c r="Y68" i="1" s="1"/>
  <c r="W68" i="1"/>
  <c r="AA67" i="1"/>
  <c r="AB67" i="1" s="1"/>
  <c r="Z67" i="1"/>
  <c r="X67" i="1"/>
  <c r="Y67" i="1" s="1"/>
  <c r="W67" i="1"/>
  <c r="AA66" i="1"/>
  <c r="AB66" i="1" s="1"/>
  <c r="Z66" i="1"/>
  <c r="X66" i="1"/>
  <c r="Y66" i="1" s="1"/>
  <c r="W66" i="1"/>
  <c r="AA65" i="1"/>
  <c r="AB65" i="1" s="1"/>
  <c r="Z65" i="1"/>
  <c r="X65" i="1"/>
  <c r="Y65" i="1" s="1"/>
  <c r="W65" i="1"/>
  <c r="AA64" i="1"/>
  <c r="AB64" i="1" s="1"/>
  <c r="Z64" i="1"/>
  <c r="X64" i="1"/>
  <c r="Y64" i="1" s="1"/>
  <c r="W64" i="1"/>
  <c r="AA63" i="1"/>
  <c r="Z63" i="1"/>
  <c r="W63" i="1"/>
  <c r="AA62" i="1"/>
  <c r="AB62" i="1" s="1"/>
  <c r="Z62" i="1"/>
  <c r="X62" i="1"/>
  <c r="Y62" i="1" s="1"/>
  <c r="W62" i="1"/>
  <c r="AA61" i="1"/>
  <c r="Z61" i="1"/>
  <c r="W61" i="1"/>
  <c r="AA60" i="1"/>
  <c r="AB60" i="1" s="1"/>
  <c r="Z60" i="1"/>
  <c r="X60" i="1"/>
  <c r="Y60" i="1" s="1"/>
  <c r="W60" i="1"/>
  <c r="AA59" i="1"/>
  <c r="AB59" i="1" s="1"/>
  <c r="Z59" i="1"/>
  <c r="X59" i="1"/>
  <c r="Y59" i="1" s="1"/>
  <c r="W59" i="1"/>
  <c r="AA58" i="1"/>
  <c r="Z58" i="1"/>
  <c r="W58" i="1"/>
  <c r="AA180" i="1"/>
  <c r="Z180" i="1"/>
  <c r="W180" i="1"/>
  <c r="AA57" i="1"/>
  <c r="AB57" i="1" s="1"/>
  <c r="Z57" i="1"/>
  <c r="X57" i="1"/>
  <c r="Y57" i="1" s="1"/>
  <c r="W57" i="1"/>
  <c r="AA56" i="1"/>
  <c r="Z56" i="1"/>
  <c r="W56" i="1"/>
  <c r="AA55" i="1"/>
  <c r="Z55" i="1"/>
  <c r="W55" i="1"/>
  <c r="AA54" i="1"/>
  <c r="AB54" i="1" s="1"/>
  <c r="Z54" i="1"/>
  <c r="X54" i="1"/>
  <c r="Y54" i="1" s="1"/>
  <c r="W54" i="1"/>
  <c r="AA53" i="1"/>
  <c r="Z53" i="1"/>
  <c r="W53" i="1"/>
  <c r="AA52" i="1"/>
  <c r="AB52" i="1" s="1"/>
  <c r="Z52" i="1"/>
  <c r="X52" i="1"/>
  <c r="Y52" i="1" s="1"/>
  <c r="W52" i="1"/>
  <c r="AA51" i="1"/>
  <c r="Z51" i="1"/>
  <c r="W51" i="1"/>
  <c r="AA50" i="1"/>
  <c r="AB50" i="1" s="1"/>
  <c r="Z50" i="1"/>
  <c r="X50" i="1"/>
  <c r="Y50" i="1" s="1"/>
  <c r="W50" i="1"/>
  <c r="AA49" i="1"/>
  <c r="AB49" i="1" s="1"/>
  <c r="Z49" i="1"/>
  <c r="X49" i="1"/>
  <c r="Y49" i="1" s="1"/>
  <c r="W49" i="1"/>
  <c r="AA48" i="1"/>
  <c r="AB48" i="1" s="1"/>
  <c r="Z48" i="1"/>
  <c r="X48" i="1"/>
  <c r="Y48" i="1" s="1"/>
  <c r="W48" i="1"/>
  <c r="AA47" i="1"/>
  <c r="AB47" i="1" s="1"/>
  <c r="Z47" i="1"/>
  <c r="X47" i="1"/>
  <c r="Y47" i="1" s="1"/>
  <c r="W47" i="1"/>
  <c r="AA46" i="1"/>
  <c r="AB46" i="1" s="1"/>
  <c r="Z46" i="1"/>
  <c r="X46" i="1"/>
  <c r="Y46" i="1" s="1"/>
  <c r="W46" i="1"/>
  <c r="AA45" i="1"/>
  <c r="AB45" i="1" s="1"/>
  <c r="Z45" i="1"/>
  <c r="X45" i="1"/>
  <c r="Y45" i="1" s="1"/>
  <c r="W45" i="1"/>
  <c r="AA44" i="1"/>
  <c r="AB44" i="1" s="1"/>
  <c r="Z44" i="1"/>
  <c r="X44" i="1"/>
  <c r="Y44" i="1" s="1"/>
  <c r="W44" i="1"/>
  <c r="AA43" i="1"/>
  <c r="Z43" i="1"/>
  <c r="W43" i="1"/>
  <c r="AA42" i="1"/>
  <c r="AB42" i="1" s="1"/>
  <c r="Z42" i="1"/>
  <c r="X42" i="1"/>
  <c r="Y42" i="1" s="1"/>
  <c r="W42" i="1"/>
  <c r="AA41" i="1"/>
  <c r="Z41" i="1"/>
  <c r="W41" i="1"/>
  <c r="AA40" i="1"/>
  <c r="AB40" i="1" s="1"/>
  <c r="Z40" i="1"/>
  <c r="X40" i="1"/>
  <c r="Y40" i="1" s="1"/>
  <c r="W40" i="1"/>
  <c r="AA39" i="1"/>
  <c r="AB39" i="1" s="1"/>
  <c r="Z39" i="1"/>
  <c r="X39" i="1"/>
  <c r="Y39" i="1" s="1"/>
  <c r="W39" i="1"/>
  <c r="AA38" i="1"/>
  <c r="AB38" i="1" s="1"/>
  <c r="Z38" i="1"/>
  <c r="X38" i="1"/>
  <c r="Y38" i="1" s="1"/>
  <c r="W38" i="1"/>
  <c r="AA37" i="1"/>
  <c r="AB37" i="1" s="1"/>
  <c r="Z37" i="1"/>
  <c r="X37" i="1"/>
  <c r="Y37" i="1" s="1"/>
  <c r="W37" i="1"/>
  <c r="AA36" i="1"/>
  <c r="Z36" i="1"/>
  <c r="W36" i="1"/>
  <c r="AA35" i="1"/>
  <c r="AB35" i="1" s="1"/>
  <c r="Z35" i="1"/>
  <c r="X35" i="1"/>
  <c r="Y35" i="1" s="1"/>
  <c r="W35" i="1"/>
  <c r="AA34" i="1"/>
  <c r="Z34" i="1"/>
  <c r="W34" i="1"/>
  <c r="AA33" i="1"/>
  <c r="AB33" i="1" s="1"/>
  <c r="Z33" i="1"/>
  <c r="X33" i="1"/>
  <c r="Y33" i="1" s="1"/>
  <c r="W33" i="1"/>
  <c r="AA32" i="1"/>
  <c r="AB32" i="1" s="1"/>
  <c r="Z32" i="1"/>
  <c r="X32" i="1"/>
  <c r="Y32" i="1" s="1"/>
  <c r="W32" i="1"/>
  <c r="AA31" i="1"/>
  <c r="AB31" i="1" s="1"/>
  <c r="Z31" i="1"/>
  <c r="X31" i="1"/>
  <c r="Y31" i="1" s="1"/>
  <c r="W31" i="1"/>
  <c r="AA30" i="1"/>
  <c r="AB30" i="1" s="1"/>
  <c r="Z30" i="1"/>
  <c r="X30" i="1"/>
  <c r="Y30" i="1" s="1"/>
  <c r="W30" i="1"/>
  <c r="AA29" i="1"/>
  <c r="AB29" i="1" s="1"/>
  <c r="Z29" i="1"/>
  <c r="X29" i="1"/>
  <c r="Y29" i="1" s="1"/>
  <c r="W29" i="1"/>
  <c r="AA28" i="1"/>
  <c r="AB28" i="1" s="1"/>
  <c r="Z28" i="1"/>
  <c r="X28" i="1"/>
  <c r="Y28" i="1" s="1"/>
  <c r="W28" i="1"/>
  <c r="AA27" i="1"/>
  <c r="AB27" i="1" s="1"/>
  <c r="Z27" i="1"/>
  <c r="X27" i="1"/>
  <c r="Y27" i="1" s="1"/>
  <c r="W27" i="1"/>
  <c r="AA26" i="1"/>
  <c r="AB26" i="1" s="1"/>
  <c r="Z26" i="1"/>
  <c r="X26" i="1"/>
  <c r="Y26" i="1" s="1"/>
  <c r="W26" i="1"/>
  <c r="AA25" i="1"/>
  <c r="AB25" i="1" s="1"/>
  <c r="Z25" i="1"/>
  <c r="X25" i="1"/>
  <c r="Y25" i="1" s="1"/>
  <c r="W25" i="1"/>
  <c r="AA24" i="1"/>
  <c r="AB24" i="1" s="1"/>
  <c r="Z24" i="1"/>
  <c r="X24" i="1"/>
  <c r="Y24" i="1" s="1"/>
  <c r="W24" i="1"/>
  <c r="AA23" i="1"/>
  <c r="AB23" i="1" s="1"/>
  <c r="Z23" i="1"/>
  <c r="X23" i="1"/>
  <c r="Y23" i="1" s="1"/>
  <c r="W23" i="1"/>
  <c r="AA22" i="1"/>
  <c r="AB22" i="1" s="1"/>
  <c r="Z22" i="1"/>
  <c r="X22" i="1"/>
  <c r="Y22" i="1" s="1"/>
  <c r="W22" i="1"/>
  <c r="AA21" i="1"/>
  <c r="AB21" i="1" s="1"/>
  <c r="Z21" i="1"/>
  <c r="X21" i="1"/>
  <c r="Y21" i="1" s="1"/>
  <c r="W21" i="1"/>
  <c r="AA20" i="1"/>
  <c r="AB20" i="1" s="1"/>
  <c r="Z20" i="1"/>
  <c r="X20" i="1"/>
  <c r="Y20" i="1" s="1"/>
  <c r="W20" i="1"/>
  <c r="AA19" i="1"/>
  <c r="AB19" i="1" s="1"/>
  <c r="Z19" i="1"/>
  <c r="X19" i="1"/>
  <c r="Y19" i="1" s="1"/>
  <c r="W19" i="1"/>
  <c r="AA18" i="1"/>
  <c r="AB18" i="1" s="1"/>
  <c r="Z18" i="1"/>
  <c r="X18" i="1"/>
  <c r="Y18" i="1" s="1"/>
  <c r="W18" i="1"/>
  <c r="AA17" i="1"/>
  <c r="AB17" i="1" s="1"/>
  <c r="Z17" i="1"/>
  <c r="X17" i="1"/>
  <c r="Y17" i="1" s="1"/>
  <c r="W17" i="1"/>
  <c r="AA16" i="1"/>
  <c r="AB16" i="1" s="1"/>
  <c r="Z16" i="1"/>
  <c r="X16" i="1"/>
  <c r="Y16" i="1" s="1"/>
  <c r="W16" i="1"/>
  <c r="AA15" i="1"/>
  <c r="AB15" i="1" s="1"/>
  <c r="Z15" i="1"/>
  <c r="X15" i="1"/>
  <c r="Y15" i="1" s="1"/>
  <c r="W15" i="1"/>
  <c r="AA14" i="1"/>
  <c r="AB14" i="1" s="1"/>
  <c r="Z14" i="1"/>
  <c r="X14" i="1"/>
  <c r="Y14" i="1" s="1"/>
  <c r="W14" i="1"/>
  <c r="AA13" i="1"/>
  <c r="Z13" i="1"/>
  <c r="W13" i="1"/>
  <c r="AA12" i="1"/>
  <c r="Z12" i="1"/>
  <c r="W12" i="1"/>
  <c r="AA11" i="1"/>
  <c r="AB11" i="1" s="1"/>
  <c r="Z11" i="1"/>
  <c r="X11" i="1"/>
  <c r="Y11" i="1" s="1"/>
  <c r="W11" i="1"/>
  <c r="W3" i="1"/>
  <c r="X3" i="1"/>
  <c r="Y3" i="1" s="1"/>
  <c r="Z3" i="1"/>
  <c r="AA3" i="1"/>
  <c r="AB3" i="1" s="1"/>
  <c r="W4" i="1"/>
  <c r="X4" i="1"/>
  <c r="Y4" i="1" s="1"/>
  <c r="Z4" i="1"/>
  <c r="AA4" i="1"/>
  <c r="AB4" i="1" s="1"/>
  <c r="W5" i="1"/>
  <c r="X5" i="1"/>
  <c r="Y5" i="1" s="1"/>
  <c r="Z5" i="1"/>
  <c r="AA5" i="1"/>
  <c r="AB5" i="1" s="1"/>
  <c r="W6" i="1"/>
  <c r="X6" i="1"/>
  <c r="Y6" i="1" s="1"/>
  <c r="Z6" i="1"/>
  <c r="AA6" i="1"/>
  <c r="AB6" i="1" s="1"/>
  <c r="W7" i="1"/>
  <c r="X7" i="1"/>
  <c r="Y7" i="1" s="1"/>
  <c r="Z7" i="1"/>
  <c r="AA7" i="1"/>
  <c r="AB7" i="1" s="1"/>
  <c r="W8" i="1"/>
  <c r="X8" i="1"/>
  <c r="Y8" i="1" s="1"/>
  <c r="Z8" i="1"/>
  <c r="AA8" i="1"/>
  <c r="AB8" i="1" s="1"/>
  <c r="W9" i="1"/>
  <c r="X9" i="1"/>
  <c r="Y9" i="1" s="1"/>
  <c r="Z9" i="1"/>
  <c r="AA9" i="1"/>
  <c r="AB9" i="1" s="1"/>
  <c r="W10" i="1"/>
  <c r="X10" i="1"/>
  <c r="Y10" i="1" s="1"/>
  <c r="Z10" i="1"/>
  <c r="AA10" i="1"/>
  <c r="AB10" i="1" s="1"/>
  <c r="AA2" i="1"/>
  <c r="AB2" i="1" s="1"/>
  <c r="Z2" i="1"/>
  <c r="X2" i="1"/>
  <c r="Y2" i="1" s="1"/>
  <c r="W2" i="1"/>
  <c r="V205" i="1"/>
  <c r="V225" i="1"/>
  <c r="V223" i="1"/>
  <c r="V216" i="1"/>
  <c r="V214" i="1"/>
  <c r="V209" i="1"/>
  <c r="V207" i="1"/>
  <c r="V206" i="1"/>
  <c r="V202" i="1"/>
  <c r="V198" i="1"/>
  <c r="V193" i="1"/>
  <c r="V191" i="1"/>
  <c r="V184" i="1"/>
  <c r="V182" i="1"/>
  <c r="F22" i="2"/>
  <c r="G22" i="2" s="1"/>
  <c r="F21" i="2"/>
  <c r="G21" i="2" s="1"/>
  <c r="F20" i="2"/>
  <c r="G20" i="2" s="1"/>
  <c r="F19" i="2"/>
  <c r="G19" i="2" s="1"/>
  <c r="C5" i="3"/>
  <c r="D5" i="3" s="1"/>
  <c r="C6" i="3"/>
  <c r="D6" i="3" s="1"/>
  <c r="C7" i="3"/>
  <c r="D7" i="3" s="1"/>
  <c r="C8" i="3"/>
  <c r="D8" i="3" s="1"/>
  <c r="C9" i="3"/>
  <c r="D9" i="3" s="1"/>
  <c r="C10" i="3"/>
  <c r="D10" i="3" s="1"/>
  <c r="C11" i="3"/>
  <c r="D11" i="3" s="1"/>
  <c r="C12" i="3"/>
  <c r="D12" i="3" s="1"/>
  <c r="C13" i="3"/>
  <c r="D13" i="3" s="1"/>
  <c r="C14" i="3"/>
  <c r="D14" i="3" s="1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D22" i="3" s="1"/>
  <c r="C23" i="3"/>
  <c r="D23" i="3" s="1"/>
  <c r="C24" i="3"/>
  <c r="D24" i="3" s="1"/>
  <c r="C25" i="3"/>
  <c r="D25" i="3" s="1"/>
  <c r="C26" i="3"/>
  <c r="D26" i="3" s="1"/>
  <c r="C27" i="3"/>
  <c r="D27" i="3" s="1"/>
  <c r="C28" i="3"/>
  <c r="D28" i="3" s="1"/>
  <c r="C29" i="3"/>
  <c r="D29" i="3" s="1"/>
  <c r="C30" i="3"/>
  <c r="D30" i="3" s="1"/>
  <c r="C31" i="3"/>
  <c r="D31" i="3" s="1"/>
  <c r="C32" i="3"/>
  <c r="D32" i="3" s="1"/>
  <c r="C33" i="3"/>
  <c r="D33" i="3" s="1"/>
  <c r="C34" i="3"/>
  <c r="D34" i="3" s="1"/>
  <c r="C35" i="3"/>
  <c r="D35" i="3" s="1"/>
  <c r="C36" i="3"/>
  <c r="D36" i="3" s="1"/>
  <c r="C37" i="3"/>
  <c r="D37" i="3" s="1"/>
  <c r="C38" i="3"/>
  <c r="D38" i="3" s="1"/>
  <c r="C39" i="3"/>
  <c r="D39" i="3" s="1"/>
  <c r="C40" i="3"/>
  <c r="D40" i="3" s="1"/>
  <c r="C41" i="3"/>
  <c r="D41" i="3" s="1"/>
  <c r="C42" i="3"/>
  <c r="D42" i="3" s="1"/>
  <c r="C43" i="3"/>
  <c r="D43" i="3" s="1"/>
  <c r="C44" i="3"/>
  <c r="D44" i="3" s="1"/>
  <c r="C45" i="3"/>
  <c r="D45" i="3" s="1"/>
  <c r="C46" i="3"/>
  <c r="D46" i="3" s="1"/>
  <c r="C47" i="3"/>
  <c r="D47" i="3" s="1"/>
  <c r="C48" i="3"/>
  <c r="D48" i="3" s="1"/>
  <c r="C49" i="3"/>
  <c r="D49" i="3" s="1"/>
  <c r="C50" i="3"/>
  <c r="D50" i="3" s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V86" i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2" i="3"/>
  <c r="A2" i="2"/>
  <c r="A3" i="2" s="1"/>
  <c r="F15" i="2"/>
  <c r="G15" i="2" s="1"/>
  <c r="F16" i="2"/>
  <c r="G16" i="2" s="1"/>
  <c r="F17" i="2"/>
  <c r="G17" i="2" s="1"/>
  <c r="F18" i="2"/>
  <c r="G18" i="2" s="1"/>
  <c r="A22" i="2"/>
  <c r="A2" i="1"/>
  <c r="V4" i="1"/>
  <c r="V5" i="1"/>
  <c r="V6" i="1"/>
  <c r="V7" i="1"/>
  <c r="V8" i="1"/>
  <c r="V9" i="1"/>
  <c r="V10" i="1"/>
  <c r="V11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5" i="1"/>
  <c r="V37" i="1"/>
  <c r="V38" i="1"/>
  <c r="V39" i="1"/>
  <c r="V40" i="1"/>
  <c r="V42" i="1"/>
  <c r="V44" i="1"/>
  <c r="V45" i="1"/>
  <c r="V46" i="1"/>
  <c r="V47" i="1"/>
  <c r="V48" i="1"/>
  <c r="V49" i="1"/>
  <c r="V50" i="1"/>
  <c r="V52" i="1"/>
  <c r="V54" i="1"/>
  <c r="V57" i="1"/>
  <c r="V59" i="1"/>
  <c r="V60" i="1"/>
  <c r="V62" i="1"/>
  <c r="V64" i="1"/>
  <c r="V65" i="1"/>
  <c r="V66" i="1"/>
  <c r="V67" i="1"/>
  <c r="V68" i="1"/>
  <c r="V69" i="1"/>
  <c r="V71" i="1"/>
  <c r="V73" i="1"/>
  <c r="V74" i="1"/>
  <c r="V75" i="1"/>
  <c r="V76" i="1"/>
  <c r="V77" i="1"/>
  <c r="V78" i="1"/>
  <c r="V80" i="1"/>
  <c r="V82" i="1"/>
  <c r="V83" i="1"/>
  <c r="V84" i="1"/>
  <c r="V85" i="1"/>
  <c r="V87" i="1"/>
  <c r="V88" i="1"/>
  <c r="V89" i="1"/>
  <c r="V90" i="1"/>
  <c r="V91" i="1"/>
  <c r="V92" i="1"/>
  <c r="V94" i="1"/>
  <c r="V96" i="1"/>
  <c r="V97" i="1"/>
  <c r="V98" i="1"/>
  <c r="V99" i="1"/>
  <c r="V101" i="1"/>
  <c r="V102" i="1"/>
  <c r="V103" i="1"/>
  <c r="V105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3" i="1"/>
  <c r="V124" i="1"/>
  <c r="V125" i="1"/>
  <c r="V126" i="1"/>
  <c r="V128" i="1"/>
  <c r="V130" i="1"/>
  <c r="V134" i="1"/>
  <c r="V135" i="1"/>
  <c r="V138" i="1"/>
  <c r="V139" i="1"/>
  <c r="V140" i="1"/>
  <c r="V141" i="1"/>
  <c r="V142" i="1"/>
  <c r="V144" i="1"/>
  <c r="V146" i="1"/>
  <c r="V147" i="1"/>
  <c r="V148" i="1"/>
  <c r="V149" i="1"/>
  <c r="V150" i="1"/>
  <c r="V152" i="1"/>
  <c r="V153" i="1"/>
  <c r="V154" i="1"/>
  <c r="V156" i="1"/>
  <c r="V158" i="1"/>
  <c r="V159" i="1"/>
  <c r="V160" i="1"/>
  <c r="V161" i="1"/>
  <c r="V162" i="1"/>
  <c r="V163" i="1"/>
  <c r="V164" i="1"/>
  <c r="V165" i="1"/>
  <c r="V166" i="1"/>
  <c r="V168" i="1"/>
  <c r="V170" i="1"/>
  <c r="V171" i="1"/>
  <c r="V172" i="1"/>
  <c r="V173" i="1"/>
  <c r="V175" i="1"/>
  <c r="V177" i="1"/>
  <c r="V181" i="1"/>
  <c r="V186" i="1"/>
  <c r="V188" i="1"/>
  <c r="V189" i="1"/>
  <c r="V190" i="1"/>
  <c r="V195" i="1"/>
  <c r="V196" i="1"/>
  <c r="V197" i="1"/>
  <c r="V2" i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2" i="2"/>
  <c r="AD151" i="1" l="1"/>
  <c r="AB221" i="1"/>
  <c r="AD137" i="1"/>
  <c r="AB204" i="1"/>
  <c r="AB136" i="1"/>
  <c r="A4" i="4"/>
  <c r="AD146" i="1"/>
  <c r="AD147" i="1"/>
  <c r="AD150" i="1"/>
  <c r="AD152" i="1"/>
  <c r="AD153" i="1"/>
  <c r="AD171" i="1"/>
  <c r="AD172" i="1"/>
  <c r="AD173" i="1"/>
  <c r="AD181" i="1"/>
  <c r="AD182" i="1"/>
  <c r="AD193" i="1"/>
  <c r="AD205" i="1"/>
  <c r="AD206" i="1"/>
  <c r="AD207" i="1"/>
  <c r="AD214" i="1"/>
  <c r="AD223" i="1"/>
  <c r="AD97" i="1"/>
  <c r="AD98" i="1"/>
  <c r="AD99" i="1"/>
  <c r="AD108" i="1"/>
  <c r="AD109" i="1"/>
  <c r="AD110" i="1"/>
  <c r="AD112" i="1"/>
  <c r="AD113" i="1"/>
  <c r="AD114" i="1"/>
  <c r="AD116" i="1"/>
  <c r="AD117" i="1"/>
  <c r="AD118" i="1"/>
  <c r="AD120" i="1"/>
  <c r="AD121" i="1"/>
  <c r="AD149" i="1"/>
  <c r="AD154" i="1"/>
  <c r="AB155" i="1"/>
  <c r="AD170" i="1"/>
  <c r="AB12" i="1"/>
  <c r="AB13" i="1"/>
  <c r="AD94" i="1"/>
  <c r="AD105" i="1"/>
  <c r="AD35" i="1"/>
  <c r="AD52" i="1"/>
  <c r="AD65" i="1"/>
  <c r="AD66" i="1"/>
  <c r="AD67" i="1"/>
  <c r="AD69" i="1"/>
  <c r="AD82" i="1"/>
  <c r="AD83" i="1"/>
  <c r="AD85" i="1"/>
  <c r="AD86" i="1"/>
  <c r="AB157" i="1"/>
  <c r="AB215" i="1"/>
  <c r="AD130" i="1"/>
  <c r="AD84" i="1"/>
  <c r="AD2" i="1"/>
  <c r="AD11" i="1"/>
  <c r="AD15" i="1"/>
  <c r="AD16" i="1"/>
  <c r="AD20" i="1"/>
  <c r="AD21" i="1"/>
  <c r="AD24" i="1"/>
  <c r="AD25" i="1"/>
  <c r="AD27" i="1"/>
  <c r="AD28" i="1"/>
  <c r="AD29" i="1"/>
  <c r="AD31" i="1"/>
  <c r="AD32" i="1"/>
  <c r="AD33" i="1"/>
  <c r="AD45" i="1"/>
  <c r="AD62" i="1"/>
  <c r="AD156" i="1"/>
  <c r="AD175" i="1"/>
  <c r="AD184" i="1"/>
  <c r="AD195" i="1"/>
  <c r="AD14" i="1"/>
  <c r="AD17" i="1"/>
  <c r="AD18" i="1"/>
  <c r="AD22" i="1"/>
  <c r="AD23" i="1"/>
  <c r="AD26" i="1"/>
  <c r="AD30" i="1"/>
  <c r="AB36" i="1"/>
  <c r="AD44" i="1"/>
  <c r="AD46" i="1"/>
  <c r="AD47" i="1"/>
  <c r="AD48" i="1"/>
  <c r="AD49" i="1"/>
  <c r="AD50" i="1"/>
  <c r="AB53" i="1"/>
  <c r="AD80" i="1"/>
  <c r="AD87" i="1"/>
  <c r="AD144" i="1"/>
  <c r="AD9" i="1"/>
  <c r="AD6" i="1"/>
  <c r="AD4" i="1"/>
  <c r="AD10" i="1"/>
  <c r="AD8" i="1"/>
  <c r="AD7" i="1"/>
  <c r="AD5" i="1"/>
  <c r="AD3" i="1"/>
  <c r="AD196" i="1"/>
  <c r="AD197" i="1"/>
  <c r="AD209" i="1"/>
  <c r="AD216" i="1"/>
  <c r="AD225" i="1"/>
  <c r="AD42" i="1"/>
  <c r="AD59" i="1"/>
  <c r="AD60" i="1"/>
  <c r="AD73" i="1"/>
  <c r="AD74" i="1"/>
  <c r="AD75" i="1"/>
  <c r="AD76" i="1"/>
  <c r="AD77" i="1"/>
  <c r="AD78" i="1"/>
  <c r="AD88" i="1"/>
  <c r="AD89" i="1"/>
  <c r="AD90" i="1"/>
  <c r="AD91" i="1"/>
  <c r="AD92" i="1"/>
  <c r="AD101" i="1"/>
  <c r="AD102" i="1"/>
  <c r="AD103" i="1"/>
  <c r="AB106" i="1"/>
  <c r="AD128" i="1"/>
  <c r="AD134" i="1"/>
  <c r="AD135" i="1"/>
  <c r="AD138" i="1"/>
  <c r="AD139" i="1"/>
  <c r="AD140" i="1"/>
  <c r="AD141" i="1"/>
  <c r="AD168" i="1"/>
  <c r="AD188" i="1"/>
  <c r="AD189" i="1"/>
  <c r="AD190" i="1"/>
  <c r="AD191" i="1"/>
  <c r="AD202" i="1"/>
  <c r="AD220" i="1"/>
  <c r="AD37" i="1"/>
  <c r="AD38" i="1"/>
  <c r="AD39" i="1"/>
  <c r="AD40" i="1"/>
  <c r="AD54" i="1"/>
  <c r="AD71" i="1"/>
  <c r="AD123" i="1"/>
  <c r="AD124" i="1"/>
  <c r="AD125" i="1"/>
  <c r="AD126" i="1"/>
  <c r="AD158" i="1"/>
  <c r="AD159" i="1"/>
  <c r="AD160" i="1"/>
  <c r="AD161" i="1"/>
  <c r="AD162" i="1"/>
  <c r="AD163" i="1"/>
  <c r="AD164" i="1"/>
  <c r="AD165" i="1"/>
  <c r="AD166" i="1"/>
  <c r="AD177" i="1"/>
  <c r="AD186" i="1"/>
  <c r="AD200" i="1"/>
  <c r="AD211" i="1"/>
  <c r="AD218" i="1"/>
  <c r="AD19" i="1"/>
  <c r="AD57" i="1"/>
  <c r="AD64" i="1"/>
  <c r="AD68" i="1"/>
  <c r="AD96" i="1"/>
  <c r="AD107" i="1"/>
  <c r="AD111" i="1"/>
  <c r="AD115" i="1"/>
  <c r="AD119" i="1"/>
  <c r="AD148" i="1"/>
  <c r="AD198" i="1"/>
  <c r="AD142" i="1"/>
  <c r="AB133" i="1"/>
  <c r="AB213" i="1"/>
  <c r="AB43" i="1"/>
  <c r="AB56" i="1"/>
  <c r="AB127" i="1"/>
  <c r="AB224" i="1"/>
  <c r="AB58" i="1"/>
  <c r="AB79" i="1"/>
  <c r="AB122" i="1"/>
  <c r="AB132" i="1"/>
  <c r="AB176" i="1"/>
  <c r="AB185" i="1"/>
  <c r="AB201" i="1"/>
  <c r="AB219" i="1"/>
  <c r="AB63" i="1"/>
  <c r="AB51" i="1"/>
  <c r="AB70" i="1"/>
  <c r="AB95" i="1"/>
  <c r="AB174" i="1"/>
  <c r="AB183" i="1"/>
  <c r="AB104" i="1"/>
  <c r="AB129" i="1"/>
  <c r="AB143" i="1"/>
  <c r="AB145" i="1"/>
  <c r="AB169" i="1"/>
  <c r="AB178" i="1"/>
  <c r="AB187" i="1"/>
  <c r="AB194" i="1"/>
  <c r="AB199" i="1"/>
  <c r="AB180" i="1"/>
  <c r="AB41" i="1"/>
  <c r="AB34" i="1"/>
  <c r="AB61" i="1"/>
  <c r="AB72" i="1"/>
  <c r="AB81" i="1"/>
  <c r="AB131" i="1"/>
  <c r="AB208" i="1"/>
  <c r="AB210" i="1"/>
  <c r="AB212" i="1"/>
  <c r="AB217" i="1"/>
  <c r="AB55" i="1"/>
  <c r="AB93" i="1"/>
  <c r="AB179" i="1"/>
  <c r="AB192" i="1"/>
  <c r="AB203" i="1"/>
  <c r="AB167" i="1"/>
  <c r="AB222" i="1"/>
  <c r="AB100" i="1"/>
  <c r="AB226" i="1"/>
  <c r="C3" i="1"/>
  <c r="D3" i="1" s="1" a="1"/>
  <c r="D3" i="1" s="1"/>
  <c r="F3" i="1" s="1"/>
  <c r="C8" i="1"/>
  <c r="D8" i="1" s="1" a="1"/>
  <c r="D8" i="1" s="1"/>
  <c r="F8" i="1" s="1"/>
  <c r="C187" i="1"/>
  <c r="D187" i="1" s="1" a="1"/>
  <c r="D187" i="1" s="1"/>
  <c r="C199" i="1"/>
  <c r="D199" i="1" s="1" a="1"/>
  <c r="D199" i="1" s="1"/>
  <c r="C178" i="1"/>
  <c r="D178" i="1" s="1" a="1"/>
  <c r="D178" i="1" s="1"/>
  <c r="C197" i="1"/>
  <c r="D197" i="1" s="1" a="1"/>
  <c r="D197" i="1" s="1"/>
  <c r="F197" i="1" s="1"/>
  <c r="C195" i="1"/>
  <c r="D195" i="1" s="1" a="1"/>
  <c r="D195" i="1" s="1"/>
  <c r="F195" i="1" s="1"/>
  <c r="C202" i="1"/>
  <c r="D202" i="1" s="1" a="1"/>
  <c r="D202" i="1" s="1"/>
  <c r="F202" i="1" s="1"/>
  <c r="C196" i="1"/>
  <c r="D196" i="1" s="1" a="1"/>
  <c r="D196" i="1" s="1"/>
  <c r="F196" i="1" s="1"/>
  <c r="C183" i="1"/>
  <c r="D183" i="1" s="1" a="1"/>
  <c r="D183" i="1" s="1"/>
  <c r="C198" i="1"/>
  <c r="D198" i="1" s="1" a="1"/>
  <c r="D198" i="1" s="1"/>
  <c r="F198" i="1" s="1"/>
  <c r="C191" i="1"/>
  <c r="D191" i="1" s="1" a="1"/>
  <c r="D191" i="1" s="1"/>
  <c r="F191" i="1" s="1"/>
  <c r="C200" i="1"/>
  <c r="D200" i="1" s="1" a="1"/>
  <c r="D200" i="1" s="1"/>
  <c r="C193" i="1"/>
  <c r="D193" i="1" s="1" a="1"/>
  <c r="D193" i="1" s="1"/>
  <c r="F193" i="1" s="1"/>
  <c r="C189" i="1"/>
  <c r="D189" i="1" s="1" a="1"/>
  <c r="D189" i="1" s="1"/>
  <c r="F189" i="1" s="1"/>
  <c r="C185" i="1"/>
  <c r="D185" i="1" s="1" a="1"/>
  <c r="D185" i="1" s="1"/>
  <c r="C181" i="1"/>
  <c r="D181" i="1" s="1" a="1"/>
  <c r="D181" i="1" s="1"/>
  <c r="F181" i="1" s="1"/>
  <c r="C176" i="1"/>
  <c r="D176" i="1" s="1" a="1"/>
  <c r="D176" i="1" s="1"/>
  <c r="F176" i="1" s="1"/>
  <c r="V176" i="1" s="1"/>
  <c r="C172" i="1"/>
  <c r="D172" i="1" s="1" a="1"/>
  <c r="D172" i="1" s="1"/>
  <c r="F172" i="1" s="1"/>
  <c r="C210" i="1"/>
  <c r="D210" i="1" s="1" a="1"/>
  <c r="D210" i="1" s="1"/>
  <c r="C206" i="1"/>
  <c r="D206" i="1" s="1" a="1"/>
  <c r="D206" i="1" s="1"/>
  <c r="F206" i="1" s="1"/>
  <c r="C212" i="1"/>
  <c r="D212" i="1" s="1" a="1"/>
  <c r="D212" i="1" s="1"/>
  <c r="C215" i="1"/>
  <c r="D215" i="1" s="1" a="1"/>
  <c r="D215" i="1" s="1"/>
  <c r="C219" i="1"/>
  <c r="D219" i="1" s="1" a="1"/>
  <c r="D219" i="1" s="1"/>
  <c r="C226" i="1"/>
  <c r="D226" i="1" s="1" a="1"/>
  <c r="D226" i="1" s="1"/>
  <c r="C192" i="1"/>
  <c r="D192" i="1" s="1" a="1"/>
  <c r="D192" i="1" s="1"/>
  <c r="C188" i="1"/>
  <c r="D188" i="1" s="1" a="1"/>
  <c r="D188" i="1" s="1"/>
  <c r="F188" i="1" s="1"/>
  <c r="C184" i="1"/>
  <c r="D184" i="1" s="1" a="1"/>
  <c r="D184" i="1" s="1"/>
  <c r="F184" i="1" s="1"/>
  <c r="C179" i="1"/>
  <c r="D179" i="1" s="1" a="1"/>
  <c r="D179" i="1" s="1"/>
  <c r="C175" i="1"/>
  <c r="D175" i="1" s="1" a="1"/>
  <c r="D175" i="1" s="1"/>
  <c r="F175" i="1" s="1"/>
  <c r="C171" i="1"/>
  <c r="D171" i="1" s="1" a="1"/>
  <c r="D171" i="1" s="1"/>
  <c r="F171" i="1" s="1"/>
  <c r="C209" i="1"/>
  <c r="D209" i="1" s="1" a="1"/>
  <c r="D209" i="1" s="1"/>
  <c r="F209" i="1" s="1"/>
  <c r="C203" i="1"/>
  <c r="D203" i="1" s="1" a="1"/>
  <c r="D203" i="1" s="1"/>
  <c r="C216" i="1"/>
  <c r="D216" i="1" s="1" a="1"/>
  <c r="D216" i="1" s="1"/>
  <c r="F216" i="1" s="1"/>
  <c r="C220" i="1"/>
  <c r="D220" i="1" s="1" a="1"/>
  <c r="D220" i="1" s="1"/>
  <c r="F220" i="1" s="1"/>
  <c r="C223" i="1"/>
  <c r="D223" i="1" s="1" a="1"/>
  <c r="D223" i="1" s="1"/>
  <c r="F223" i="1" s="1"/>
  <c r="C205" i="1"/>
  <c r="D205" i="1" s="1" a="1"/>
  <c r="D205" i="1" s="1"/>
  <c r="F205" i="1" s="1"/>
  <c r="C174" i="1"/>
  <c r="D174" i="1" s="1" a="1"/>
  <c r="D174" i="1" s="1"/>
  <c r="F174" i="1" s="1"/>
  <c r="V174" i="1" s="1"/>
  <c r="C170" i="1"/>
  <c r="D170" i="1" s="1" a="1"/>
  <c r="D170" i="1" s="1"/>
  <c r="F170" i="1" s="1"/>
  <c r="C208" i="1"/>
  <c r="D208" i="1" s="1" a="1"/>
  <c r="D208" i="1" s="1"/>
  <c r="C211" i="1"/>
  <c r="D211" i="1" s="1" a="1"/>
  <c r="D211" i="1" s="1"/>
  <c r="F211" i="1" s="1"/>
  <c r="C217" i="1"/>
  <c r="D217" i="1" s="1" a="1"/>
  <c r="D217" i="1" s="1"/>
  <c r="C222" i="1"/>
  <c r="D222" i="1" s="1" a="1"/>
  <c r="D222" i="1" s="1"/>
  <c r="C224" i="1"/>
  <c r="D224" i="1" s="1" a="1"/>
  <c r="D224" i="1" s="1"/>
  <c r="C194" i="1"/>
  <c r="D194" i="1" s="1" a="1"/>
  <c r="D194" i="1" s="1"/>
  <c r="C190" i="1"/>
  <c r="D190" i="1" s="1" a="1"/>
  <c r="D190" i="1" s="1"/>
  <c r="F190" i="1" s="1"/>
  <c r="C186" i="1"/>
  <c r="D186" i="1" s="1" a="1"/>
  <c r="D186" i="1" s="1"/>
  <c r="F186" i="1" s="1"/>
  <c r="C182" i="1"/>
  <c r="D182" i="1" s="1" a="1"/>
  <c r="D182" i="1" s="1"/>
  <c r="F182" i="1" s="1"/>
  <c r="C177" i="1"/>
  <c r="D177" i="1" s="1" a="1"/>
  <c r="D177" i="1" s="1"/>
  <c r="F177" i="1" s="1"/>
  <c r="C173" i="1"/>
  <c r="D173" i="1" s="1" a="1"/>
  <c r="D173" i="1" s="1"/>
  <c r="F173" i="1" s="1"/>
  <c r="C207" i="1"/>
  <c r="D207" i="1" s="1" a="1"/>
  <c r="D207" i="1" s="1"/>
  <c r="F207" i="1" s="1"/>
  <c r="C213" i="1"/>
  <c r="D213" i="1" s="1" a="1"/>
  <c r="D213" i="1" s="1"/>
  <c r="C214" i="1"/>
  <c r="D214" i="1" s="1" a="1"/>
  <c r="D214" i="1" s="1"/>
  <c r="F214" i="1" s="1"/>
  <c r="C218" i="1"/>
  <c r="D218" i="1" s="1" a="1"/>
  <c r="D218" i="1" s="1"/>
  <c r="F218" i="1" s="1"/>
  <c r="C225" i="1"/>
  <c r="D225" i="1" s="1" a="1"/>
  <c r="D225" i="1" s="1"/>
  <c r="F225" i="1" s="1"/>
  <c r="C201" i="1"/>
  <c r="D201" i="1" s="1" a="1"/>
  <c r="D201" i="1" s="1"/>
  <c r="A3" i="1"/>
  <c r="A4" i="1" s="1"/>
  <c r="A5" i="1" s="1"/>
  <c r="G2" i="2"/>
  <c r="C159" i="1"/>
  <c r="D159" i="1" s="1" a="1"/>
  <c r="D159" i="1" s="1"/>
  <c r="F159" i="1" s="1"/>
  <c r="C126" i="1"/>
  <c r="D126" i="1" s="1" a="1"/>
  <c r="D126" i="1" s="1"/>
  <c r="F126" i="1" s="1"/>
  <c r="C95" i="1"/>
  <c r="D95" i="1" s="1" a="1"/>
  <c r="D95" i="1" s="1"/>
  <c r="C62" i="1"/>
  <c r="D62" i="1" s="1" a="1"/>
  <c r="D62" i="1" s="1"/>
  <c r="F62" i="1" s="1"/>
  <c r="C32" i="1"/>
  <c r="D32" i="1" s="1" a="1"/>
  <c r="D32" i="1" s="1"/>
  <c r="F32" i="1" s="1"/>
  <c r="C139" i="1"/>
  <c r="D139" i="1" s="1" a="1"/>
  <c r="D139" i="1" s="1"/>
  <c r="F139" i="1" s="1"/>
  <c r="C106" i="1"/>
  <c r="D106" i="1" s="1" a="1"/>
  <c r="D106" i="1" s="1"/>
  <c r="C74" i="1"/>
  <c r="D74" i="1" s="1" a="1"/>
  <c r="D74" i="1" s="1"/>
  <c r="F74" i="1" s="1"/>
  <c r="C58" i="1"/>
  <c r="D58" i="1" s="1" a="1"/>
  <c r="D58" i="1" s="1"/>
  <c r="C44" i="1"/>
  <c r="D44" i="1" s="1" a="1"/>
  <c r="D44" i="1" s="1"/>
  <c r="F44" i="1" s="1"/>
  <c r="C12" i="1"/>
  <c r="D12" i="1" s="1" a="1"/>
  <c r="D12" i="1" s="1"/>
  <c r="F12" i="1" s="1"/>
  <c r="V12" i="1" s="1"/>
  <c r="G4" i="3"/>
  <c r="C4" i="3" s="1"/>
  <c r="D4" i="3" s="1"/>
  <c r="C167" i="1"/>
  <c r="D167" i="1" s="1" a="1"/>
  <c r="D167" i="1" s="1"/>
  <c r="C143" i="1"/>
  <c r="D143" i="1" s="1" a="1"/>
  <c r="D143" i="1" s="1"/>
  <c r="C110" i="1"/>
  <c r="D110" i="1" s="1" a="1"/>
  <c r="D110" i="1" s="1"/>
  <c r="F110" i="1" s="1"/>
  <c r="C78" i="1"/>
  <c r="D78" i="1" s="1" a="1"/>
  <c r="D78" i="1" s="1"/>
  <c r="F78" i="1" s="1"/>
  <c r="C48" i="1"/>
  <c r="D48" i="1" s="1" a="1"/>
  <c r="D48" i="1" s="1"/>
  <c r="F48" i="1" s="1"/>
  <c r="C16" i="1"/>
  <c r="D16" i="1" s="1" a="1"/>
  <c r="D16" i="1" s="1"/>
  <c r="F16" i="1" s="1"/>
  <c r="C2" i="1"/>
  <c r="D2" i="1" s="1" a="1"/>
  <c r="D2" i="1" s="1"/>
  <c r="F2" i="1" s="1"/>
  <c r="C164" i="1"/>
  <c r="D164" i="1" s="1" a="1"/>
  <c r="D164" i="1" s="1"/>
  <c r="F164" i="1" s="1"/>
  <c r="C156" i="1"/>
  <c r="D156" i="1" s="1" a="1"/>
  <c r="D156" i="1" s="1"/>
  <c r="F156" i="1" s="1"/>
  <c r="C122" i="1"/>
  <c r="D122" i="1" s="1" a="1"/>
  <c r="D122" i="1" s="1"/>
  <c r="C91" i="1"/>
  <c r="D91" i="1" s="1" a="1"/>
  <c r="D91" i="1" s="1"/>
  <c r="F91" i="1" s="1"/>
  <c r="C28" i="1"/>
  <c r="D28" i="1" s="1" a="1"/>
  <c r="D28" i="1" s="1"/>
  <c r="F28" i="1" s="1"/>
  <c r="C163" i="1"/>
  <c r="D163" i="1" s="1" a="1"/>
  <c r="D163" i="1" s="1"/>
  <c r="F163" i="1" s="1"/>
  <c r="C152" i="1"/>
  <c r="D152" i="1" s="1" a="1"/>
  <c r="D152" i="1" s="1"/>
  <c r="F152" i="1" s="1"/>
  <c r="C134" i="1"/>
  <c r="D134" i="1" s="1" a="1"/>
  <c r="D134" i="1" s="1"/>
  <c r="F134" i="1" s="1"/>
  <c r="C118" i="1"/>
  <c r="D118" i="1" s="1" a="1"/>
  <c r="D118" i="1" s="1"/>
  <c r="F118" i="1" s="1"/>
  <c r="C102" i="1"/>
  <c r="D102" i="1" s="1" a="1"/>
  <c r="D102" i="1" s="1"/>
  <c r="F102" i="1" s="1"/>
  <c r="C87" i="1"/>
  <c r="D87" i="1" s="1" a="1"/>
  <c r="D87" i="1" s="1"/>
  <c r="F87" i="1" s="1"/>
  <c r="C70" i="1"/>
  <c r="D70" i="1" s="1" a="1"/>
  <c r="D70" i="1" s="1"/>
  <c r="C56" i="1"/>
  <c r="D56" i="1" s="1" a="1"/>
  <c r="D56" i="1" s="1"/>
  <c r="C40" i="1"/>
  <c r="D40" i="1" s="1" a="1"/>
  <c r="D40" i="1" s="1"/>
  <c r="F40" i="1" s="1"/>
  <c r="C24" i="1"/>
  <c r="D24" i="1" s="1" a="1"/>
  <c r="D24" i="1" s="1"/>
  <c r="F24" i="1" s="1"/>
  <c r="C86" i="1"/>
  <c r="D86" i="1" s="1" a="1"/>
  <c r="D86" i="1" s="1"/>
  <c r="F86" i="1" s="1"/>
  <c r="C5" i="1"/>
  <c r="D5" i="1" s="1" a="1"/>
  <c r="D5" i="1" s="1"/>
  <c r="F5" i="1" s="1"/>
  <c r="C9" i="1"/>
  <c r="D9" i="1" s="1" a="1"/>
  <c r="D9" i="1" s="1"/>
  <c r="F9" i="1" s="1"/>
  <c r="C13" i="1"/>
  <c r="D13" i="1" s="1" a="1"/>
  <c r="D13" i="1" s="1"/>
  <c r="F13" i="1" s="1"/>
  <c r="V13" i="1" s="1"/>
  <c r="C17" i="1"/>
  <c r="D17" i="1" s="1" a="1"/>
  <c r="D17" i="1" s="1"/>
  <c r="F17" i="1" s="1"/>
  <c r="C21" i="1"/>
  <c r="D21" i="1" s="1" a="1"/>
  <c r="D21" i="1" s="1"/>
  <c r="F21" i="1" s="1"/>
  <c r="C25" i="1"/>
  <c r="D25" i="1" s="1" a="1"/>
  <c r="D25" i="1" s="1"/>
  <c r="F25" i="1" s="1"/>
  <c r="C29" i="1"/>
  <c r="D29" i="1" s="1" a="1"/>
  <c r="D29" i="1" s="1"/>
  <c r="F29" i="1" s="1"/>
  <c r="C33" i="1"/>
  <c r="D33" i="1" s="1" a="1"/>
  <c r="D33" i="1" s="1"/>
  <c r="F33" i="1" s="1"/>
  <c r="C37" i="1"/>
  <c r="D37" i="1" s="1" a="1"/>
  <c r="D37" i="1" s="1"/>
  <c r="F37" i="1" s="1"/>
  <c r="C41" i="1"/>
  <c r="D41" i="1" s="1" a="1"/>
  <c r="D41" i="1" s="1"/>
  <c r="C45" i="1"/>
  <c r="D45" i="1" s="1" a="1"/>
  <c r="D45" i="1" s="1"/>
  <c r="F45" i="1" s="1"/>
  <c r="C49" i="1"/>
  <c r="D49" i="1" s="1" a="1"/>
  <c r="D49" i="1" s="1"/>
  <c r="F49" i="1" s="1"/>
  <c r="C53" i="1"/>
  <c r="D53" i="1" s="1" a="1"/>
  <c r="D53" i="1" s="1"/>
  <c r="C59" i="1"/>
  <c r="D59" i="1" s="1" a="1"/>
  <c r="D59" i="1" s="1"/>
  <c r="F59" i="1" s="1"/>
  <c r="C63" i="1"/>
  <c r="D63" i="1" s="1" a="1"/>
  <c r="D63" i="1" s="1"/>
  <c r="C67" i="1"/>
  <c r="D67" i="1" s="1" a="1"/>
  <c r="D67" i="1" s="1"/>
  <c r="F67" i="1" s="1"/>
  <c r="C71" i="1"/>
  <c r="D71" i="1" s="1" a="1"/>
  <c r="D71" i="1" s="1"/>
  <c r="F71" i="1" s="1"/>
  <c r="C75" i="1"/>
  <c r="D75" i="1" s="1" a="1"/>
  <c r="D75" i="1" s="1"/>
  <c r="F75" i="1" s="1"/>
  <c r="C79" i="1"/>
  <c r="D79" i="1" s="1" a="1"/>
  <c r="D79" i="1" s="1"/>
  <c r="C83" i="1"/>
  <c r="D83" i="1" s="1" a="1"/>
  <c r="D83" i="1" s="1"/>
  <c r="F83" i="1" s="1"/>
  <c r="C88" i="1"/>
  <c r="D88" i="1" s="1" a="1"/>
  <c r="D88" i="1" s="1"/>
  <c r="F88" i="1" s="1"/>
  <c r="C92" i="1"/>
  <c r="D92" i="1" s="1" a="1"/>
  <c r="D92" i="1" s="1"/>
  <c r="F92" i="1" s="1"/>
  <c r="C96" i="1"/>
  <c r="D96" i="1" s="1" a="1"/>
  <c r="D96" i="1" s="1"/>
  <c r="F96" i="1" s="1"/>
  <c r="C103" i="1"/>
  <c r="D103" i="1" s="1" a="1"/>
  <c r="D103" i="1" s="1"/>
  <c r="F103" i="1" s="1"/>
  <c r="C107" i="1"/>
  <c r="D107" i="1" s="1" a="1"/>
  <c r="D107" i="1" s="1"/>
  <c r="F107" i="1" s="1"/>
  <c r="C111" i="1"/>
  <c r="D111" i="1" s="1" a="1"/>
  <c r="D111" i="1" s="1"/>
  <c r="F111" i="1" s="1"/>
  <c r="C115" i="1"/>
  <c r="D115" i="1" s="1" a="1"/>
  <c r="D115" i="1" s="1"/>
  <c r="F115" i="1" s="1"/>
  <c r="C119" i="1"/>
  <c r="D119" i="1" s="1" a="1"/>
  <c r="D119" i="1" s="1"/>
  <c r="F119" i="1" s="1"/>
  <c r="C123" i="1"/>
  <c r="D123" i="1" s="1" a="1"/>
  <c r="D123" i="1" s="1"/>
  <c r="F123" i="1" s="1"/>
  <c r="C127" i="1"/>
  <c r="D127" i="1" s="1" a="1"/>
  <c r="D127" i="1" s="1"/>
  <c r="C131" i="1"/>
  <c r="D131" i="1" s="1" a="1"/>
  <c r="D131" i="1" s="1"/>
  <c r="C135" i="1"/>
  <c r="D135" i="1" s="1" a="1"/>
  <c r="D135" i="1" s="1"/>
  <c r="F135" i="1" s="1"/>
  <c r="C140" i="1"/>
  <c r="D140" i="1" s="1" a="1"/>
  <c r="D140" i="1" s="1"/>
  <c r="F140" i="1" s="1"/>
  <c r="C144" i="1"/>
  <c r="D144" i="1" s="1" a="1"/>
  <c r="D144" i="1" s="1"/>
  <c r="F144" i="1" s="1"/>
  <c r="C148" i="1"/>
  <c r="D148" i="1" s="1" a="1"/>
  <c r="D148" i="1" s="1"/>
  <c r="F148" i="1" s="1"/>
  <c r="C153" i="1"/>
  <c r="D153" i="1" s="1" a="1"/>
  <c r="D153" i="1" s="1"/>
  <c r="F153" i="1" s="1"/>
  <c r="C157" i="1"/>
  <c r="D157" i="1" s="1" a="1"/>
  <c r="D157" i="1" s="1"/>
  <c r="C161" i="1"/>
  <c r="D161" i="1" s="1" a="1"/>
  <c r="D161" i="1" s="1"/>
  <c r="F161" i="1" s="1"/>
  <c r="C165" i="1"/>
  <c r="D165" i="1" s="1" a="1"/>
  <c r="D165" i="1" s="1"/>
  <c r="F165" i="1" s="1"/>
  <c r="C169" i="1"/>
  <c r="D169" i="1" s="1" a="1"/>
  <c r="D169" i="1" s="1"/>
  <c r="C6" i="1"/>
  <c r="D6" i="1" s="1" a="1"/>
  <c r="D6" i="1" s="1"/>
  <c r="F6" i="1" s="1"/>
  <c r="C10" i="1"/>
  <c r="D10" i="1" s="1" a="1"/>
  <c r="D10" i="1" s="1"/>
  <c r="F10" i="1" s="1"/>
  <c r="C14" i="1"/>
  <c r="D14" i="1" s="1" a="1"/>
  <c r="D14" i="1" s="1"/>
  <c r="F14" i="1" s="1"/>
  <c r="C18" i="1"/>
  <c r="D18" i="1" s="1" a="1"/>
  <c r="D18" i="1" s="1"/>
  <c r="F18" i="1" s="1"/>
  <c r="C22" i="1"/>
  <c r="D22" i="1" s="1" a="1"/>
  <c r="D22" i="1" s="1"/>
  <c r="F22" i="1" s="1"/>
  <c r="C26" i="1"/>
  <c r="D26" i="1" s="1" a="1"/>
  <c r="D26" i="1" s="1"/>
  <c r="F26" i="1" s="1"/>
  <c r="C30" i="1"/>
  <c r="D30" i="1" s="1" a="1"/>
  <c r="D30" i="1" s="1"/>
  <c r="F30" i="1" s="1"/>
  <c r="C34" i="1"/>
  <c r="D34" i="1" s="1" a="1"/>
  <c r="D34" i="1" s="1"/>
  <c r="C38" i="1"/>
  <c r="D38" i="1" s="1" a="1"/>
  <c r="D38" i="1" s="1"/>
  <c r="F38" i="1" s="1"/>
  <c r="C42" i="1"/>
  <c r="D42" i="1" s="1" a="1"/>
  <c r="D42" i="1" s="1"/>
  <c r="F42" i="1" s="1"/>
  <c r="C46" i="1"/>
  <c r="D46" i="1" s="1" a="1"/>
  <c r="D46" i="1" s="1"/>
  <c r="F46" i="1" s="1"/>
  <c r="C50" i="1"/>
  <c r="D50" i="1" s="1" a="1"/>
  <c r="D50" i="1" s="1"/>
  <c r="F50" i="1" s="1"/>
  <c r="C54" i="1"/>
  <c r="D54" i="1" s="1" a="1"/>
  <c r="D54" i="1" s="1"/>
  <c r="F54" i="1" s="1"/>
  <c r="C57" i="1"/>
  <c r="D57" i="1" s="1" a="1"/>
  <c r="D57" i="1" s="1"/>
  <c r="F57" i="1" s="1"/>
  <c r="C60" i="1"/>
  <c r="D60" i="1" s="1" a="1"/>
  <c r="D60" i="1" s="1"/>
  <c r="F60" i="1" s="1"/>
  <c r="C64" i="1"/>
  <c r="D64" i="1" s="1" a="1"/>
  <c r="D64" i="1" s="1"/>
  <c r="F64" i="1" s="1"/>
  <c r="C68" i="1"/>
  <c r="D68" i="1" s="1" a="1"/>
  <c r="D68" i="1" s="1"/>
  <c r="F68" i="1" s="1"/>
  <c r="C72" i="1"/>
  <c r="D72" i="1" s="1" a="1"/>
  <c r="D72" i="1" s="1"/>
  <c r="C76" i="1"/>
  <c r="D76" i="1" s="1" a="1"/>
  <c r="D76" i="1" s="1"/>
  <c r="F76" i="1" s="1"/>
  <c r="C80" i="1"/>
  <c r="D80" i="1" s="1" a="1"/>
  <c r="D80" i="1" s="1"/>
  <c r="F80" i="1" s="1"/>
  <c r="C84" i="1"/>
  <c r="D84" i="1" s="1" a="1"/>
  <c r="D84" i="1" s="1"/>
  <c r="F84" i="1" s="1"/>
  <c r="C89" i="1"/>
  <c r="D89" i="1" s="1" a="1"/>
  <c r="D89" i="1" s="1"/>
  <c r="F89" i="1" s="1"/>
  <c r="C93" i="1"/>
  <c r="D93" i="1" s="1" a="1"/>
  <c r="D93" i="1" s="1"/>
  <c r="C97" i="1"/>
  <c r="D97" i="1" s="1" a="1"/>
  <c r="D97" i="1" s="1"/>
  <c r="F97" i="1" s="1"/>
  <c r="C100" i="1"/>
  <c r="D100" i="1" s="1" a="1"/>
  <c r="D100" i="1" s="1"/>
  <c r="C104" i="1"/>
  <c r="D104" i="1" s="1" a="1"/>
  <c r="D104" i="1" s="1"/>
  <c r="C108" i="1"/>
  <c r="D108" i="1" s="1" a="1"/>
  <c r="D108" i="1" s="1"/>
  <c r="F108" i="1" s="1"/>
  <c r="C112" i="1"/>
  <c r="D112" i="1" s="1" a="1"/>
  <c r="D112" i="1" s="1"/>
  <c r="F112" i="1" s="1"/>
  <c r="C116" i="1"/>
  <c r="D116" i="1" s="1" a="1"/>
  <c r="D116" i="1" s="1"/>
  <c r="F116" i="1" s="1"/>
  <c r="C120" i="1"/>
  <c r="D120" i="1" s="1" a="1"/>
  <c r="D120" i="1" s="1"/>
  <c r="F120" i="1" s="1"/>
  <c r="C124" i="1"/>
  <c r="D124" i="1" s="1" a="1"/>
  <c r="D124" i="1" s="1"/>
  <c r="F124" i="1" s="1"/>
  <c r="C128" i="1"/>
  <c r="D128" i="1" s="1" a="1"/>
  <c r="D128" i="1" s="1"/>
  <c r="F128" i="1" s="1"/>
  <c r="C132" i="1"/>
  <c r="D132" i="1" s="1" a="1"/>
  <c r="D132" i="1" s="1"/>
  <c r="C136" i="1"/>
  <c r="D136" i="1" s="1" a="1"/>
  <c r="D136" i="1" s="1"/>
  <c r="F136" i="1" s="1"/>
  <c r="V136" i="1" s="1"/>
  <c r="C141" i="1"/>
  <c r="D141" i="1" s="1" a="1"/>
  <c r="D141" i="1" s="1"/>
  <c r="F141" i="1" s="1"/>
  <c r="C145" i="1"/>
  <c r="D145" i="1" s="1" a="1"/>
  <c r="D145" i="1" s="1"/>
  <c r="C149" i="1"/>
  <c r="D149" i="1" s="1" a="1"/>
  <c r="D149" i="1" s="1"/>
  <c r="F149" i="1" s="1"/>
  <c r="C154" i="1"/>
  <c r="D154" i="1" s="1" a="1"/>
  <c r="D154" i="1" s="1"/>
  <c r="F154" i="1" s="1"/>
  <c r="C158" i="1"/>
  <c r="D158" i="1" s="1" a="1"/>
  <c r="D158" i="1" s="1"/>
  <c r="F158" i="1" s="1"/>
  <c r="C162" i="1"/>
  <c r="D162" i="1" s="1" a="1"/>
  <c r="D162" i="1" s="1"/>
  <c r="F162" i="1" s="1"/>
  <c r="C166" i="1"/>
  <c r="D166" i="1" s="1" a="1"/>
  <c r="D166" i="1" s="1"/>
  <c r="F166" i="1" s="1"/>
  <c r="G3" i="3"/>
  <c r="C3" i="3" s="1"/>
  <c r="D3" i="3" s="1"/>
  <c r="G2" i="3"/>
  <c r="C2" i="3" s="1"/>
  <c r="D2" i="3" s="1"/>
  <c r="C7" i="1"/>
  <c r="D7" i="1" s="1" a="1"/>
  <c r="D7" i="1" s="1"/>
  <c r="F7" i="1" s="1"/>
  <c r="C11" i="1"/>
  <c r="D11" i="1" s="1" a="1"/>
  <c r="D11" i="1" s="1"/>
  <c r="F11" i="1" s="1"/>
  <c r="C15" i="1"/>
  <c r="D15" i="1" s="1" a="1"/>
  <c r="D15" i="1" s="1"/>
  <c r="F15" i="1" s="1"/>
  <c r="C19" i="1"/>
  <c r="D19" i="1" s="1" a="1"/>
  <c r="D19" i="1" s="1"/>
  <c r="F19" i="1" s="1"/>
  <c r="C23" i="1"/>
  <c r="D23" i="1" s="1" a="1"/>
  <c r="D23" i="1" s="1"/>
  <c r="F23" i="1" s="1"/>
  <c r="C27" i="1"/>
  <c r="D27" i="1" s="1" a="1"/>
  <c r="D27" i="1" s="1"/>
  <c r="F27" i="1" s="1"/>
  <c r="C31" i="1"/>
  <c r="D31" i="1" s="1" a="1"/>
  <c r="D31" i="1" s="1"/>
  <c r="F31" i="1" s="1"/>
  <c r="C35" i="1"/>
  <c r="D35" i="1" s="1" a="1"/>
  <c r="D35" i="1" s="1"/>
  <c r="F35" i="1" s="1"/>
  <c r="C39" i="1"/>
  <c r="D39" i="1" s="1" a="1"/>
  <c r="D39" i="1" s="1"/>
  <c r="F39" i="1" s="1"/>
  <c r="C43" i="1"/>
  <c r="D43" i="1" s="1" a="1"/>
  <c r="D43" i="1" s="1"/>
  <c r="C47" i="1"/>
  <c r="D47" i="1" s="1" a="1"/>
  <c r="D47" i="1" s="1"/>
  <c r="F47" i="1" s="1"/>
  <c r="C51" i="1"/>
  <c r="D51" i="1" s="1" a="1"/>
  <c r="D51" i="1" s="1"/>
  <c r="C55" i="1"/>
  <c r="D55" i="1" s="1" a="1"/>
  <c r="D55" i="1" s="1"/>
  <c r="C180" i="1"/>
  <c r="D180" i="1" s="1" a="1"/>
  <c r="D180" i="1" s="1"/>
  <c r="C61" i="1"/>
  <c r="D61" i="1" s="1" a="1"/>
  <c r="D61" i="1" s="1"/>
  <c r="C65" i="1"/>
  <c r="D65" i="1" s="1" a="1"/>
  <c r="D65" i="1" s="1"/>
  <c r="F65" i="1" s="1"/>
  <c r="C69" i="1"/>
  <c r="D69" i="1" s="1" a="1"/>
  <c r="D69" i="1" s="1"/>
  <c r="F69" i="1" s="1"/>
  <c r="C73" i="1"/>
  <c r="D73" i="1" s="1" a="1"/>
  <c r="D73" i="1" s="1"/>
  <c r="F73" i="1" s="1"/>
  <c r="C77" i="1"/>
  <c r="D77" i="1" s="1" a="1"/>
  <c r="D77" i="1" s="1"/>
  <c r="F77" i="1" s="1"/>
  <c r="C81" i="1"/>
  <c r="D81" i="1" s="1" a="1"/>
  <c r="D81" i="1" s="1"/>
  <c r="C85" i="1"/>
  <c r="D85" i="1" s="1" a="1"/>
  <c r="D85" i="1" s="1"/>
  <c r="F85" i="1" s="1"/>
  <c r="C90" i="1"/>
  <c r="D90" i="1" s="1" a="1"/>
  <c r="D90" i="1" s="1"/>
  <c r="F90" i="1" s="1"/>
  <c r="C94" i="1"/>
  <c r="D94" i="1" s="1" a="1"/>
  <c r="D94" i="1" s="1"/>
  <c r="F94" i="1" s="1"/>
  <c r="C98" i="1"/>
  <c r="D98" i="1" s="1" a="1"/>
  <c r="D98" i="1" s="1"/>
  <c r="F98" i="1" s="1"/>
  <c r="C101" i="1"/>
  <c r="D101" i="1" s="1" a="1"/>
  <c r="D101" i="1" s="1"/>
  <c r="F101" i="1" s="1"/>
  <c r="C105" i="1"/>
  <c r="D105" i="1" s="1" a="1"/>
  <c r="D105" i="1" s="1"/>
  <c r="F105" i="1" s="1"/>
  <c r="C109" i="1"/>
  <c r="D109" i="1" s="1" a="1"/>
  <c r="D109" i="1" s="1"/>
  <c r="F109" i="1" s="1"/>
  <c r="C113" i="1"/>
  <c r="D113" i="1" s="1" a="1"/>
  <c r="D113" i="1" s="1"/>
  <c r="F113" i="1" s="1"/>
  <c r="C117" i="1"/>
  <c r="D117" i="1" s="1" a="1"/>
  <c r="D117" i="1" s="1"/>
  <c r="F117" i="1" s="1"/>
  <c r="C121" i="1"/>
  <c r="D121" i="1" s="1" a="1"/>
  <c r="D121" i="1" s="1"/>
  <c r="F121" i="1" s="1"/>
  <c r="C125" i="1"/>
  <c r="D125" i="1" s="1" a="1"/>
  <c r="D125" i="1" s="1"/>
  <c r="F125" i="1" s="1"/>
  <c r="C129" i="1"/>
  <c r="D129" i="1" s="1" a="1"/>
  <c r="D129" i="1" s="1"/>
  <c r="C133" i="1"/>
  <c r="D133" i="1" s="1" a="1"/>
  <c r="D133" i="1" s="1"/>
  <c r="C138" i="1"/>
  <c r="D138" i="1" s="1" a="1"/>
  <c r="D138" i="1" s="1"/>
  <c r="F138" i="1" s="1"/>
  <c r="C142" i="1"/>
  <c r="D142" i="1" s="1" a="1"/>
  <c r="D142" i="1" s="1"/>
  <c r="F142" i="1" s="1"/>
  <c r="C146" i="1"/>
  <c r="D146" i="1" s="1" a="1"/>
  <c r="D146" i="1" s="1"/>
  <c r="F146" i="1" s="1"/>
  <c r="C150" i="1"/>
  <c r="D150" i="1" s="1" a="1"/>
  <c r="D150" i="1" s="1"/>
  <c r="F150" i="1" s="1"/>
  <c r="C155" i="1"/>
  <c r="D155" i="1" s="1" a="1"/>
  <c r="D155" i="1" s="1"/>
  <c r="C168" i="1"/>
  <c r="D168" i="1" s="1" a="1"/>
  <c r="D168" i="1" s="1"/>
  <c r="F168" i="1" s="1"/>
  <c r="C160" i="1"/>
  <c r="D160" i="1" s="1" a="1"/>
  <c r="D160" i="1" s="1"/>
  <c r="F160" i="1" s="1"/>
  <c r="C147" i="1"/>
  <c r="D147" i="1" s="1" a="1"/>
  <c r="D147" i="1" s="1"/>
  <c r="F147" i="1" s="1"/>
  <c r="C130" i="1"/>
  <c r="D130" i="1" s="1" a="1"/>
  <c r="D130" i="1" s="1"/>
  <c r="F130" i="1" s="1"/>
  <c r="C114" i="1"/>
  <c r="D114" i="1" s="1" a="1"/>
  <c r="D114" i="1" s="1"/>
  <c r="F114" i="1" s="1"/>
  <c r="C99" i="1"/>
  <c r="D99" i="1" s="1" a="1"/>
  <c r="D99" i="1" s="1"/>
  <c r="F99" i="1" s="1"/>
  <c r="C82" i="1"/>
  <c r="D82" i="1" s="1" a="1"/>
  <c r="D82" i="1" s="1"/>
  <c r="F82" i="1" s="1"/>
  <c r="C66" i="1"/>
  <c r="D66" i="1" s="1" a="1"/>
  <c r="D66" i="1" s="1"/>
  <c r="F66" i="1" s="1"/>
  <c r="C52" i="1"/>
  <c r="D52" i="1" s="1" a="1"/>
  <c r="D52" i="1" s="1"/>
  <c r="F52" i="1" s="1"/>
  <c r="C36" i="1"/>
  <c r="D36" i="1" s="1" a="1"/>
  <c r="D36" i="1" s="1"/>
  <c r="C20" i="1"/>
  <c r="D20" i="1" s="1" a="1"/>
  <c r="D20" i="1" s="1"/>
  <c r="F20" i="1" s="1"/>
  <c r="C4" i="1"/>
  <c r="D4" i="1" s="1" a="1"/>
  <c r="D4" i="1" s="1"/>
  <c r="F4" i="1" s="1"/>
  <c r="A3" i="3"/>
  <c r="A4" i="3" s="1"/>
  <c r="A4" i="2"/>
  <c r="A5" i="2" s="1"/>
  <c r="A5" i="4" l="1"/>
  <c r="A6" i="4" s="1"/>
  <c r="A7" i="4" s="1"/>
  <c r="X213" i="1"/>
  <c r="Y213" i="1" s="1"/>
  <c r="AD213" i="1" s="1"/>
  <c r="X203" i="1"/>
  <c r="Y203" i="1" s="1"/>
  <c r="AD203" i="1" s="1"/>
  <c r="X122" i="1"/>
  <c r="Y122" i="1" s="1"/>
  <c r="AD122" i="1" s="1"/>
  <c r="X56" i="1"/>
  <c r="Y56" i="1" s="1"/>
  <c r="AD56" i="1" s="1"/>
  <c r="X132" i="1"/>
  <c r="Y132" i="1" s="1"/>
  <c r="AD132" i="1" s="1"/>
  <c r="F61" i="1"/>
  <c r="V61" i="1" s="1"/>
  <c r="F104" i="1"/>
  <c r="V104" i="1" s="1"/>
  <c r="F72" i="1"/>
  <c r="V72" i="1" s="1"/>
  <c r="F79" i="1"/>
  <c r="V79" i="1" s="1"/>
  <c r="F106" i="1"/>
  <c r="V106" i="1" s="1"/>
  <c r="F194" i="1"/>
  <c r="V194" i="1" s="1"/>
  <c r="F179" i="1"/>
  <c r="V179" i="1" s="1"/>
  <c r="F180" i="1"/>
  <c r="V180" i="1" s="1"/>
  <c r="F43" i="1"/>
  <c r="V43" i="1" s="1"/>
  <c r="F157" i="1"/>
  <c r="V157" i="1" s="1"/>
  <c r="F201" i="1"/>
  <c r="V201" i="1" s="1"/>
  <c r="F224" i="1"/>
  <c r="V224" i="1" s="1"/>
  <c r="F208" i="1"/>
  <c r="V208" i="1" s="1"/>
  <c r="F219" i="1"/>
  <c r="V219" i="1" s="1"/>
  <c r="F210" i="1"/>
  <c r="V210" i="1" s="1"/>
  <c r="F185" i="1"/>
  <c r="V185" i="1" s="1"/>
  <c r="V200" i="1"/>
  <c r="F200" i="1"/>
  <c r="F178" i="1"/>
  <c r="V178" i="1" s="1"/>
  <c r="F133" i="1"/>
  <c r="V133" i="1" s="1"/>
  <c r="F55" i="1"/>
  <c r="V55" i="1" s="1"/>
  <c r="F145" i="1"/>
  <c r="V145" i="1" s="1"/>
  <c r="F34" i="1"/>
  <c r="V34" i="1" s="1"/>
  <c r="F169" i="1"/>
  <c r="V169" i="1" s="1"/>
  <c r="F41" i="1"/>
  <c r="V41" i="1" s="1"/>
  <c r="F167" i="1"/>
  <c r="V167" i="1" s="1"/>
  <c r="F58" i="1"/>
  <c r="V58" i="1" s="1"/>
  <c r="F222" i="1"/>
  <c r="V222" i="1" s="1"/>
  <c r="F215" i="1"/>
  <c r="V215" i="1" s="1"/>
  <c r="F199" i="1"/>
  <c r="V199" i="1" s="1"/>
  <c r="F127" i="1"/>
  <c r="V127" i="1" s="1"/>
  <c r="F63" i="1"/>
  <c r="V63" i="1" s="1"/>
  <c r="F70" i="1"/>
  <c r="V70" i="1" s="1"/>
  <c r="F95" i="1"/>
  <c r="V95" i="1" s="1"/>
  <c r="F203" i="1"/>
  <c r="V203" i="1" s="1"/>
  <c r="F226" i="1"/>
  <c r="V226" i="1" s="1"/>
  <c r="F183" i="1"/>
  <c r="V183" i="1" s="1"/>
  <c r="F155" i="1"/>
  <c r="V155" i="1" s="1"/>
  <c r="F132" i="1"/>
  <c r="V132" i="1" s="1"/>
  <c r="F100" i="1"/>
  <c r="V100" i="1" s="1"/>
  <c r="F122" i="1"/>
  <c r="V122" i="1" s="1"/>
  <c r="F143" i="1"/>
  <c r="V143" i="1" s="1"/>
  <c r="F213" i="1"/>
  <c r="V213" i="1" s="1"/>
  <c r="F36" i="1"/>
  <c r="V36" i="1" s="1"/>
  <c r="F129" i="1"/>
  <c r="V129" i="1" s="1"/>
  <c r="F81" i="1"/>
  <c r="V81" i="1" s="1"/>
  <c r="F51" i="1"/>
  <c r="V51" i="1" s="1"/>
  <c r="F93" i="1"/>
  <c r="V93" i="1" s="1"/>
  <c r="F131" i="1"/>
  <c r="V131" i="1" s="1"/>
  <c r="F53" i="1"/>
  <c r="V53" i="1" s="1"/>
  <c r="F56" i="1"/>
  <c r="V56" i="1" s="1"/>
  <c r="F217" i="1"/>
  <c r="V217" i="1" s="1"/>
  <c r="F192" i="1"/>
  <c r="V192" i="1" s="1"/>
  <c r="F212" i="1"/>
  <c r="V212" i="1" s="1"/>
  <c r="F187" i="1"/>
  <c r="V187" i="1" s="1"/>
  <c r="A6" i="1"/>
  <c r="A6" i="2"/>
  <c r="X221" i="1" l="1"/>
  <c r="Y221" i="1" s="1"/>
  <c r="AD221" i="1" s="1"/>
  <c r="X204" i="1"/>
  <c r="Y204" i="1" s="1"/>
  <c r="AD204" i="1" s="1"/>
  <c r="X136" i="1"/>
  <c r="Y136" i="1" s="1"/>
  <c r="AD136" i="1" s="1"/>
  <c r="X12" i="1"/>
  <c r="Y12" i="1" s="1"/>
  <c r="AD12" i="1" s="1"/>
  <c r="X13" i="1"/>
  <c r="Y13" i="1" s="1"/>
  <c r="AD13" i="1" s="1"/>
  <c r="X169" i="1"/>
  <c r="Y169" i="1" s="1"/>
  <c r="AD169" i="1" s="1"/>
  <c r="X224" i="1"/>
  <c r="Y224" i="1" s="1"/>
  <c r="AD224" i="1" s="1"/>
  <c r="X93" i="1"/>
  <c r="Y93" i="1" s="1"/>
  <c r="AD93" i="1" s="1"/>
  <c r="X70" i="1"/>
  <c r="Y70" i="1" s="1"/>
  <c r="AD70" i="1" s="1"/>
  <c r="X127" i="1"/>
  <c r="Y127" i="1" s="1"/>
  <c r="AD127" i="1" s="1"/>
  <c r="X167" i="1"/>
  <c r="Y167" i="1" s="1"/>
  <c r="AD167" i="1" s="1"/>
  <c r="X180" i="1"/>
  <c r="Y180" i="1" s="1"/>
  <c r="AD180" i="1" s="1"/>
  <c r="X176" i="1"/>
  <c r="Y176" i="1" s="1"/>
  <c r="AD176" i="1" s="1"/>
  <c r="X187" i="1"/>
  <c r="Y187" i="1" s="1"/>
  <c r="AD187" i="1" s="1"/>
  <c r="X217" i="1"/>
  <c r="Y217" i="1" s="1"/>
  <c r="AD217" i="1" s="1"/>
  <c r="X201" i="1"/>
  <c r="Y201" i="1" s="1"/>
  <c r="AD201" i="1" s="1"/>
  <c r="X131" i="1"/>
  <c r="Y131" i="1" s="1"/>
  <c r="AD131" i="1" s="1"/>
  <c r="X36" i="1"/>
  <c r="Y36" i="1" s="1"/>
  <c r="AD36" i="1" s="1"/>
  <c r="X100" i="1"/>
  <c r="Y100" i="1" s="1"/>
  <c r="AD100" i="1" s="1"/>
  <c r="X58" i="1"/>
  <c r="Y58" i="1" s="1"/>
  <c r="AD58" i="1" s="1"/>
  <c r="X106" i="1"/>
  <c r="Y106" i="1" s="1"/>
  <c r="AD106" i="1" s="1"/>
  <c r="X226" i="1"/>
  <c r="Y226" i="1" s="1"/>
  <c r="AD226" i="1" s="1"/>
  <c r="X174" i="1"/>
  <c r="Y174" i="1" s="1"/>
  <c r="AD174" i="1" s="1"/>
  <c r="X34" i="1"/>
  <c r="Y34" i="1" s="1"/>
  <c r="AD34" i="1" s="1"/>
  <c r="X55" i="1"/>
  <c r="Y55" i="1" s="1"/>
  <c r="AD55" i="1" s="1"/>
  <c r="X95" i="1"/>
  <c r="Y95" i="1" s="1"/>
  <c r="AD95" i="1" s="1"/>
  <c r="X157" i="1"/>
  <c r="Y157" i="1" s="1"/>
  <c r="AD157" i="1" s="1"/>
  <c r="X185" i="1"/>
  <c r="Y185" i="1" s="1"/>
  <c r="AD185" i="1" s="1"/>
  <c r="X183" i="1"/>
  <c r="Y183" i="1" s="1"/>
  <c r="AD183" i="1" s="1"/>
  <c r="X145" i="1"/>
  <c r="Y145" i="1" s="1"/>
  <c r="AD145" i="1" s="1"/>
  <c r="X212" i="1"/>
  <c r="Y212" i="1" s="1"/>
  <c r="AD212" i="1" s="1"/>
  <c r="X210" i="1"/>
  <c r="Y210" i="1" s="1"/>
  <c r="AD210" i="1" s="1"/>
  <c r="X41" i="1"/>
  <c r="Y41" i="1" s="1"/>
  <c r="AD41" i="1" s="1"/>
  <c r="X61" i="1"/>
  <c r="Y61" i="1" s="1"/>
  <c r="AD61" i="1" s="1"/>
  <c r="X104" i="1"/>
  <c r="Y104" i="1" s="1"/>
  <c r="AD104" i="1" s="1"/>
  <c r="X72" i="1"/>
  <c r="Y72" i="1" s="1"/>
  <c r="AD72" i="1" s="1"/>
  <c r="X129" i="1"/>
  <c r="Y129" i="1" s="1"/>
  <c r="AD129" i="1" s="1"/>
  <c r="X179" i="1"/>
  <c r="Y179" i="1" s="1"/>
  <c r="AD179" i="1" s="1"/>
  <c r="X155" i="1"/>
  <c r="Y155" i="1" s="1"/>
  <c r="AD155" i="1" s="1"/>
  <c r="X208" i="1"/>
  <c r="Y208" i="1" s="1"/>
  <c r="AD208" i="1" s="1"/>
  <c r="X51" i="1"/>
  <c r="Y51" i="1" s="1"/>
  <c r="AD51" i="1" s="1"/>
  <c r="X178" i="1"/>
  <c r="Y178" i="1" s="1"/>
  <c r="AD178" i="1" s="1"/>
  <c r="X199" i="1"/>
  <c r="Y199" i="1" s="1"/>
  <c r="AD199" i="1" s="1"/>
  <c r="X133" i="1"/>
  <c r="Y133" i="1" s="1"/>
  <c r="AD133" i="1" s="1"/>
  <c r="X222" i="1"/>
  <c r="Y222" i="1" s="1"/>
  <c r="AD222" i="1" s="1"/>
  <c r="X192" i="1"/>
  <c r="Y192" i="1" s="1"/>
  <c r="AD192" i="1" s="1"/>
  <c r="X215" i="1"/>
  <c r="Y215" i="1" s="1"/>
  <c r="AD215" i="1" s="1"/>
  <c r="X143" i="1"/>
  <c r="Y143" i="1" s="1"/>
  <c r="AD143" i="1" s="1"/>
  <c r="X53" i="1"/>
  <c r="Y53" i="1" s="1"/>
  <c r="AD53" i="1" s="1"/>
  <c r="X81" i="1"/>
  <c r="Y81" i="1" s="1"/>
  <c r="AD81" i="1" s="1"/>
  <c r="X43" i="1"/>
  <c r="Y43" i="1" s="1"/>
  <c r="AD43" i="1" s="1"/>
  <c r="X63" i="1"/>
  <c r="Y63" i="1" s="1"/>
  <c r="AD63" i="1" s="1"/>
  <c r="X219" i="1"/>
  <c r="Y219" i="1" s="1"/>
  <c r="AD219" i="1" s="1"/>
  <c r="X79" i="1"/>
  <c r="Y79" i="1" s="1"/>
  <c r="AD79" i="1" s="1"/>
  <c r="X194" i="1"/>
  <c r="Y194" i="1" s="1"/>
  <c r="AD194" i="1" s="1"/>
  <c r="A7" i="2"/>
  <c r="A7" i="1"/>
  <c r="A8" i="2" l="1"/>
  <c r="A8" i="1"/>
  <c r="A9" i="2" l="1"/>
  <c r="A10" i="2" s="1"/>
  <c r="A9" i="1"/>
  <c r="A10" i="1" l="1"/>
  <c r="A11" i="1" s="1"/>
  <c r="A12" i="1" s="1"/>
  <c r="A11" i="2"/>
  <c r="A12" i="2" s="1"/>
  <c r="A13" i="2" s="1"/>
  <c r="A14" i="2" l="1"/>
  <c r="A13" i="1"/>
  <c r="A15" i="2" l="1"/>
  <c r="A16" i="2" s="1"/>
  <c r="A14" i="1"/>
  <c r="A15" i="1" l="1"/>
  <c r="A17" i="2"/>
  <c r="A18" i="2" s="1"/>
  <c r="A16" i="1" l="1"/>
  <c r="A17" i="1" s="1"/>
  <c r="A19" i="2"/>
  <c r="A20" i="2" s="1"/>
  <c r="A21" i="2" s="1"/>
  <c r="A18" i="1" l="1"/>
  <c r="A19" i="1" l="1"/>
  <c r="A20" i="1" s="1"/>
  <c r="A21" i="1" l="1"/>
  <c r="A22" i="1" s="1"/>
  <c r="A23" i="1" s="1"/>
  <c r="A24" i="1" s="1"/>
  <c r="A25" i="1" l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l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l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l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151" i="1"/>
  <c r="A220" i="1" l="1"/>
  <c r="A222" i="1" s="1"/>
  <c r="A221" i="1"/>
  <c r="A223" i="1" l="1"/>
  <c r="A224" i="1" s="1"/>
  <c r="A225" i="1" s="1"/>
  <c r="A2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<sst xmlns="http://schemas.openxmlformats.org/spreadsheetml/2006/main" count="2176" uniqueCount="562">
  <si>
    <t>#</t>
  </si>
  <si>
    <t>CourseName</t>
  </si>
  <si>
    <t>Lista de estudantes cadastrados</t>
  </si>
  <si>
    <t>Usuários do Sistema</t>
  </si>
  <si>
    <t>Produtos Oferecidos</t>
  </si>
  <si>
    <t>Nomes das Instituições de Ensino</t>
  </si>
  <si>
    <t>Nomes dos Cursos</t>
  </si>
  <si>
    <t>Lista de Compras</t>
  </si>
  <si>
    <t>Promoções</t>
  </si>
  <si>
    <t>Transações Financeiras</t>
  </si>
  <si>
    <t>SystemErrors</t>
  </si>
  <si>
    <t>Lista de Erros de Execução do sistema</t>
  </si>
  <si>
    <t>Base de perguntas frequentes</t>
  </si>
  <si>
    <t>Stories e Chamados de Manuteção e melhorias</t>
  </si>
  <si>
    <t>ClientEstudants</t>
  </si>
  <si>
    <t>ManagerUsers</t>
  </si>
  <si>
    <t>ManagerProducts</t>
  </si>
  <si>
    <t>ClientCourseInstitutions</t>
  </si>
  <si>
    <t>ClientCourseNames</t>
  </si>
  <si>
    <t>ClientOrders</t>
  </si>
  <si>
    <t>ManagerPromotions</t>
  </si>
  <si>
    <t>ManagerFAQs</t>
  </si>
  <si>
    <t>usr</t>
  </si>
  <si>
    <t>err</t>
  </si>
  <si>
    <t>trsctn</t>
  </si>
  <si>
    <t>cll</t>
  </si>
  <si>
    <t>prmt</t>
  </si>
  <si>
    <t>prdct</t>
  </si>
  <si>
    <t>faq</t>
  </si>
  <si>
    <t>ordr</t>
  </si>
  <si>
    <t>estdt</t>
  </si>
  <si>
    <t>crnam</t>
  </si>
  <si>
    <t>crinst</t>
  </si>
  <si>
    <t>Table</t>
  </si>
  <si>
    <t>prefix</t>
  </si>
  <si>
    <t>DataType</t>
  </si>
  <si>
    <t>PrimKey</t>
  </si>
  <si>
    <t>NotNull</t>
  </si>
  <si>
    <t>Unique</t>
  </si>
  <si>
    <t>Binary</t>
  </si>
  <si>
    <t>Unsigned</t>
  </si>
  <si>
    <t>ZeroFill</t>
  </si>
  <si>
    <t>Gerated</t>
  </si>
  <si>
    <t>Default/Expression</t>
  </si>
  <si>
    <t>FieldNameBasic</t>
  </si>
  <si>
    <t>FieldNameFinal</t>
  </si>
  <si>
    <t>x</t>
  </si>
  <si>
    <t>Descrição</t>
  </si>
  <si>
    <t>ParticName</t>
  </si>
  <si>
    <t>ParticSex</t>
  </si>
  <si>
    <t>ParticBirthDay</t>
  </si>
  <si>
    <t>ParticMail</t>
  </si>
  <si>
    <t>ParticPhone</t>
  </si>
  <si>
    <t>ParticPass</t>
  </si>
  <si>
    <t>ParticCPF</t>
  </si>
  <si>
    <t>ParticRG</t>
  </si>
  <si>
    <t>CourseInstitute</t>
  </si>
  <si>
    <t>CourseFormation</t>
  </si>
  <si>
    <t>CourseModal</t>
  </si>
  <si>
    <t>CourseRegister</t>
  </si>
  <si>
    <t>CourseAgeCurr</t>
  </si>
  <si>
    <t>CourseAgeFinal</t>
  </si>
  <si>
    <t>AddressZIP</t>
  </si>
  <si>
    <t>AddressName</t>
  </si>
  <si>
    <t>AddressNumber</t>
  </si>
  <si>
    <t>AddressCompl</t>
  </si>
  <si>
    <t>AddressCity</t>
  </si>
  <si>
    <t>AddressUF</t>
  </si>
  <si>
    <t>AddressNeibor</t>
  </si>
  <si>
    <t>PhotoFaceExt</t>
  </si>
  <si>
    <t>PhotoDocFrontExt</t>
  </si>
  <si>
    <t>PhotoDocBackExt</t>
  </si>
  <si>
    <t>PhotoDocAddressExt</t>
  </si>
  <si>
    <t>PhotoDocRegisExt</t>
  </si>
  <si>
    <t>Auto
Increment</t>
  </si>
  <si>
    <t>SubDomain</t>
  </si>
  <si>
    <t>Índice Estudante</t>
  </si>
  <si>
    <t>text</t>
  </si>
  <si>
    <t>Nome do Estudante</t>
  </si>
  <si>
    <t>Sexo do Estudante</t>
  </si>
  <si>
    <t>Date</t>
  </si>
  <si>
    <t>Data de Aniversário do Estudante</t>
  </si>
  <si>
    <t>Email do Estudante</t>
  </si>
  <si>
    <t>Telefone ou Celular do Estudante</t>
  </si>
  <si>
    <t>Senha de Login do Estudante</t>
  </si>
  <si>
    <t>CPF do Estudante</t>
  </si>
  <si>
    <t>RG do Estudante</t>
  </si>
  <si>
    <t>Nome da Intituição de Ensino</t>
  </si>
  <si>
    <t>Nome do Curso</t>
  </si>
  <si>
    <t>Tipo de Formação do Curso</t>
  </si>
  <si>
    <t>Modalidade da Formação do Curso</t>
  </si>
  <si>
    <t>Número de Matrícula</t>
  </si>
  <si>
    <t>Ano atual do Curso</t>
  </si>
  <si>
    <t>Ano de Conclusão do Curso</t>
  </si>
  <si>
    <t>CEP do Endereço</t>
  </si>
  <si>
    <t>Logradouro do Endereço</t>
  </si>
  <si>
    <t>Número do Endereço</t>
  </si>
  <si>
    <t>Complemento do Endereço</t>
  </si>
  <si>
    <t>Cidade do Endereço</t>
  </si>
  <si>
    <t>UF do Endereço</t>
  </si>
  <si>
    <t>Bairro do Endereço</t>
  </si>
  <si>
    <t>SubDomínio de Cadastro</t>
  </si>
  <si>
    <t>Extenção da Imagem da Face</t>
  </si>
  <si>
    <t>Extenção da Imagem da Frente do Doc</t>
  </si>
  <si>
    <t>Extenção da Imagem da Traseira do Doc</t>
  </si>
  <si>
    <t>Extenção da Imagem da Matrícula</t>
  </si>
  <si>
    <t>PHP DataType</t>
  </si>
  <si>
    <t>num</t>
  </si>
  <si>
    <t>txt</t>
  </si>
  <si>
    <t>dte</t>
  </si>
  <si>
    <t>SystemActive</t>
  </si>
  <si>
    <t>SystemCreationDt</t>
  </si>
  <si>
    <t>SystemCreationID</t>
  </si>
  <si>
    <t>SystemLastUpdateDt</t>
  </si>
  <si>
    <t>SystemLastUpdateID</t>
  </si>
  <si>
    <t>bol</t>
  </si>
  <si>
    <t>b'1'</t>
  </si>
  <si>
    <t>CURRENT_TIMESTAMP</t>
  </si>
  <si>
    <t>NULL</t>
  </si>
  <si>
    <t>Ativo</t>
  </si>
  <si>
    <t>Data de Criação</t>
  </si>
  <si>
    <t>Id do Criador</t>
  </si>
  <si>
    <t>Data de Atualização</t>
  </si>
  <si>
    <t>ID do Revisor</t>
  </si>
  <si>
    <t>Índice Nomes dos Cursos</t>
  </si>
  <si>
    <t>UF</t>
  </si>
  <si>
    <t>Initial</t>
  </si>
  <si>
    <t>Name</t>
  </si>
  <si>
    <t>Nome da Instituição</t>
  </si>
  <si>
    <t>Índice da Instituição</t>
  </si>
  <si>
    <t>Uf da Instituição</t>
  </si>
  <si>
    <t>Adm da Instituição</t>
  </si>
  <si>
    <t>Initial da Instituição</t>
  </si>
  <si>
    <t>Índice da Ordem de Compra</t>
  </si>
  <si>
    <t>Status</t>
  </si>
  <si>
    <t>Student</t>
  </si>
  <si>
    <t>Product</t>
  </si>
  <si>
    <t>Price</t>
  </si>
  <si>
    <t>Promotion</t>
  </si>
  <si>
    <t>Type</t>
  </si>
  <si>
    <t>Ask</t>
  </si>
  <si>
    <t>Aswer</t>
  </si>
  <si>
    <t>Índice da Pergunta</t>
  </si>
  <si>
    <t>Tipo da Pergunta</t>
  </si>
  <si>
    <t>Pergunta</t>
  </si>
  <si>
    <t>Resposta</t>
  </si>
  <si>
    <t>Campos</t>
  </si>
  <si>
    <t>Índice do Produto</t>
  </si>
  <si>
    <t>Year</t>
  </si>
  <si>
    <t>Índice da Promoção</t>
  </si>
  <si>
    <t>Desc</t>
  </si>
  <si>
    <t>ValidDateStart</t>
  </si>
  <si>
    <t>ValidDateFinal</t>
  </si>
  <si>
    <t>ValidQuantMax</t>
  </si>
  <si>
    <t>Code</t>
  </si>
  <si>
    <t>Quantidade Máxima de Promoções</t>
  </si>
  <si>
    <t>Código da Promoção</t>
  </si>
  <si>
    <t>Nome da Promoção</t>
  </si>
  <si>
    <t>Descrição de Promoção</t>
  </si>
  <si>
    <t>Data Inicial</t>
  </si>
  <si>
    <t>Data Final</t>
  </si>
  <si>
    <t>Tittle</t>
  </si>
  <si>
    <t>ToUser</t>
  </si>
  <si>
    <t>b'0'</t>
  </si>
  <si>
    <t>Índice do Chamado</t>
  </si>
  <si>
    <t>Índice do Usuário</t>
  </si>
  <si>
    <t>Language</t>
  </si>
  <si>
    <t>Message</t>
  </si>
  <si>
    <t>StackTrace</t>
  </si>
  <si>
    <t>UserType</t>
  </si>
  <si>
    <t>PageURL</t>
  </si>
  <si>
    <t>Extra</t>
  </si>
  <si>
    <t>Índice do Erro</t>
  </si>
  <si>
    <t>Índice da Transação</t>
  </si>
  <si>
    <t>fntch</t>
  </si>
  <si>
    <t>Instituição Financeira</t>
  </si>
  <si>
    <t>SystemEstudent</t>
  </si>
  <si>
    <t>SystemOrder</t>
  </si>
  <si>
    <t>RemoteStatus</t>
  </si>
  <si>
    <t>RemoteNotification</t>
  </si>
  <si>
    <t>RemoteCode</t>
  </si>
  <si>
    <t>RemoteLinkURL</t>
  </si>
  <si>
    <t>RemotePrice</t>
  </si>
  <si>
    <t>RemoteExpirationDt</t>
  </si>
  <si>
    <t>Código da Transação</t>
  </si>
  <si>
    <t>Número da Ordem de Compra</t>
  </si>
  <si>
    <t>ID do Estudante</t>
  </si>
  <si>
    <t>ID da FinTech</t>
  </si>
  <si>
    <t>Código da Notificação</t>
  </si>
  <si>
    <t>Status da Transação</t>
  </si>
  <si>
    <t>Link da Transação (Boleto ou PIX)</t>
  </si>
  <si>
    <t>Valor da Transação</t>
  </si>
  <si>
    <t>Data de Expiração</t>
  </si>
  <si>
    <t>dec</t>
  </si>
  <si>
    <t>URL</t>
  </si>
  <si>
    <t>Phone</t>
  </si>
  <si>
    <t>Generalparam</t>
  </si>
  <si>
    <t>Nome da FinTech</t>
  </si>
  <si>
    <t>URL da Página principal</t>
  </si>
  <si>
    <t>Telefone de Contato</t>
  </si>
  <si>
    <t>Email de Contato</t>
  </si>
  <si>
    <t>Parametros Gerais</t>
  </si>
  <si>
    <t>Contas nas Finctechs</t>
  </si>
  <si>
    <t>fntacc</t>
  </si>
  <si>
    <t>Login</t>
  </si>
  <si>
    <t>TokenProduction</t>
  </si>
  <si>
    <t>TokenSandBox</t>
  </si>
  <si>
    <t>TestByerAccount</t>
  </si>
  <si>
    <t>Índice da FinTech</t>
  </si>
  <si>
    <t>Índice da Conta da FinTech</t>
  </si>
  <si>
    <t>Nome da Conta</t>
  </si>
  <si>
    <t>Login na FinTech</t>
  </si>
  <si>
    <t>Token de Produção</t>
  </si>
  <si>
    <t>Token de Test</t>
  </si>
  <si>
    <t>Senha Comprador de Test</t>
  </si>
  <si>
    <t>Conta Comprador de Test</t>
  </si>
  <si>
    <t>FinTechAccount</t>
  </si>
  <si>
    <t>SystemFinTechAccount</t>
  </si>
  <si>
    <t>SystemIdx</t>
  </si>
  <si>
    <t>Constraint
Table</t>
  </si>
  <si>
    <t>Constraint
Field</t>
  </si>
  <si>
    <t>tbClientEstudants</t>
  </si>
  <si>
    <t>tbClientCourseNames</t>
  </si>
  <si>
    <t>tbClientCourseInstitutions</t>
  </si>
  <si>
    <t>tbClientOrders</t>
  </si>
  <si>
    <t>tbManagerFAQs</t>
  </si>
  <si>
    <t>tbManagerProducts</t>
  </si>
  <si>
    <t>tbManagerPromotions</t>
  </si>
  <si>
    <t>tbManagerUsers</t>
  </si>
  <si>
    <t>tbSystemErrors</t>
  </si>
  <si>
    <t>table
corresp</t>
  </si>
  <si>
    <t>Extenção da Img do Comprov de Endereço</t>
  </si>
  <si>
    <t>usrSystemIdx</t>
  </si>
  <si>
    <t>estdtSystemIdx</t>
  </si>
  <si>
    <t>prdctSystemIdx</t>
  </si>
  <si>
    <t>prmtSystemIdx</t>
  </si>
  <si>
    <t>fntaccSystemIdx</t>
  </si>
  <si>
    <t>EstudentID</t>
  </si>
  <si>
    <t>ordrSystemIdx</t>
  </si>
  <si>
    <t>X</t>
  </si>
  <si>
    <t>Constraint
Name</t>
  </si>
  <si>
    <t>TestByerPass</t>
  </si>
  <si>
    <t>Create
Order</t>
  </si>
  <si>
    <t>int</t>
  </si>
  <si>
    <t>decimal</t>
  </si>
  <si>
    <t>bit</t>
  </si>
  <si>
    <t>DataSize</t>
  </si>
  <si>
    <t>DataDecimal</t>
  </si>
  <si>
    <t>varchar</t>
  </si>
  <si>
    <t>Status da Compra</t>
  </si>
  <si>
    <t>Estudante da Compra</t>
  </si>
  <si>
    <t>Produto da Compra</t>
  </si>
  <si>
    <t>Preço da Compra</t>
  </si>
  <si>
    <t>Promoção da Compra</t>
  </si>
  <si>
    <t>Conta da Compra</t>
  </si>
  <si>
    <t>Nome do produto</t>
  </si>
  <si>
    <t>Ano de venda do Produto</t>
  </si>
  <si>
    <t>Preço do Produto</t>
  </si>
  <si>
    <t>Título do Chamado</t>
  </si>
  <si>
    <t>Tipo de Chamado</t>
  </si>
  <si>
    <t>Autor o Chamado</t>
  </si>
  <si>
    <t>Status do Chamado</t>
  </si>
  <si>
    <t>Nome Completo de Usuário</t>
  </si>
  <si>
    <t>Email do Usuário</t>
  </si>
  <si>
    <t>Senha do Usuário</t>
  </si>
  <si>
    <t>Usuário é Adm</t>
  </si>
  <si>
    <t>Linguagem de programação do Erro</t>
  </si>
  <si>
    <t>Mensagem de Erro</t>
  </si>
  <si>
    <t>Trajetória do Erro</t>
  </si>
  <si>
    <t>Tipo de Usuário do momento do Erro</t>
  </si>
  <si>
    <t>Estudante</t>
  </si>
  <si>
    <t>Página do Erro</t>
  </si>
  <si>
    <t>Dados Extras do Problema</t>
  </si>
  <si>
    <t>Field
Name 1</t>
  </si>
  <si>
    <t>Field
Name 2</t>
  </si>
  <si>
    <t>Field
Name 3</t>
  </si>
  <si>
    <t>Field
Name 4</t>
  </si>
  <si>
    <t>Field
Name 5</t>
  </si>
  <si>
    <t>Field
Name 6</t>
  </si>
  <si>
    <t>Field
Size 1</t>
  </si>
  <si>
    <t>Field
Size 2</t>
  </si>
  <si>
    <t>Field
Size 3</t>
  </si>
  <si>
    <t>Field
Size 4</t>
  </si>
  <si>
    <t>Field
Size 5</t>
  </si>
  <si>
    <t>Field
Size 6</t>
  </si>
  <si>
    <t>UNIQUE</t>
  </si>
  <si>
    <t>prdctYear</t>
  </si>
  <si>
    <t>Comment</t>
  </si>
  <si>
    <t>O produto não pode ter o mesmo nome no mesmo ano</t>
  </si>
  <si>
    <t>ValidYear</t>
  </si>
  <si>
    <t>Ano de Validade da Promoção</t>
  </si>
  <si>
    <t>prmtName</t>
  </si>
  <si>
    <t>prmtSubDomain</t>
  </si>
  <si>
    <t>prmtCode</t>
  </si>
  <si>
    <t>A promoção não pode se repetir o nome no mesmo subdomínio e no mesmo ano</t>
  </si>
  <si>
    <t>A promoção não pode se repetir o Código no mesmo subdomínio e no mesmo ano</t>
  </si>
  <si>
    <t>prmtValidYear</t>
  </si>
  <si>
    <t>DATETIME</t>
  </si>
  <si>
    <t>VARCHAR</t>
  </si>
  <si>
    <t>Prefix</t>
  </si>
  <si>
    <t>Name
Size
(MAX 64)</t>
  </si>
  <si>
    <t>Lista de Status das Ordens de Compra</t>
  </si>
  <si>
    <t>ordritm</t>
  </si>
  <si>
    <t>ManagerFinTechTransactionsStatus</t>
  </si>
  <si>
    <t>Lista de Status das Transações</t>
  </si>
  <si>
    <t>ordrsts</t>
  </si>
  <si>
    <t>trsctnsts</t>
  </si>
  <si>
    <t>Lotes de Arquivos de produção</t>
  </si>
  <si>
    <t>fllt</t>
  </si>
  <si>
    <t>Clientes dos Lotes de Arquivo</t>
  </si>
  <si>
    <t>Itens de cada ordem de compra</t>
  </si>
  <si>
    <t>ManagerCalling</t>
  </si>
  <si>
    <t>ManagerFinTechs</t>
  </si>
  <si>
    <t>FileLots</t>
  </si>
  <si>
    <t>FileLots_Clients</t>
  </si>
  <si>
    <t>Lista de Clientes afetados no Chamado</t>
  </si>
  <si>
    <t>cllest</t>
  </si>
  <si>
    <t>Lista de Mensagens no Chamado</t>
  </si>
  <si>
    <t>cllmsg</t>
  </si>
  <si>
    <t>tbManagerFinTechs</t>
  </si>
  <si>
    <t>ParticSaler</t>
  </si>
  <si>
    <t>Índice de quem o indicou</t>
  </si>
  <si>
    <t>ID do Status</t>
  </si>
  <si>
    <t>Nome do Status</t>
  </si>
  <si>
    <t>Description</t>
  </si>
  <si>
    <t>Descrição do Status</t>
  </si>
  <si>
    <t>ordrstsSystemIdx</t>
  </si>
  <si>
    <t>Id do Item de Compra</t>
  </si>
  <si>
    <t>ID da Ordem de Compra</t>
  </si>
  <si>
    <t>tbManagerFinTechTransactionsStatus</t>
  </si>
  <si>
    <t>ID do Status de Transação</t>
  </si>
  <si>
    <t>FinTech</t>
  </si>
  <si>
    <t>fntchSystemIdx</t>
  </si>
  <si>
    <t>Nome de Status de Transação</t>
  </si>
  <si>
    <t>tbFileLots</t>
  </si>
  <si>
    <t>GenerationDT</t>
  </si>
  <si>
    <t>Obs</t>
  </si>
  <si>
    <t>ID do Lote</t>
  </si>
  <si>
    <t>tbFileLots_Clients</t>
  </si>
  <si>
    <t>id do Cliente do Lote</t>
  </si>
  <si>
    <t>StudentID</t>
  </si>
  <si>
    <t>cllSystemIdx</t>
  </si>
  <si>
    <t>Observação</t>
  </si>
  <si>
    <t>ID do Cliente Afetado pelo Chamado</t>
  </si>
  <si>
    <t>ID do Chamado</t>
  </si>
  <si>
    <t>Mensagem</t>
  </si>
  <si>
    <t>TrackerNumber</t>
  </si>
  <si>
    <t>Número de Rastreio do Correio</t>
  </si>
  <si>
    <t>ClientOrders_Status</t>
  </si>
  <si>
    <t>ClientOrders_Items</t>
  </si>
  <si>
    <t>ManagerFinTech_Accounts</t>
  </si>
  <si>
    <t>ManagerFinTech_Transactions</t>
  </si>
  <si>
    <t>tbManagerFinTech_Accounts</t>
  </si>
  <si>
    <t>tbManagerFinTech_Transactions</t>
  </si>
  <si>
    <t>tbClientOrders_Status</t>
  </si>
  <si>
    <t>tbClientOrders_Items</t>
  </si>
  <si>
    <t>ManagerCalls</t>
  </si>
  <si>
    <t>tbManagerCalls</t>
  </si>
  <si>
    <t>ManagerCall_Clients</t>
  </si>
  <si>
    <t>tbManagerCall_Clients</t>
  </si>
  <si>
    <t>ManagerCall_Message</t>
  </si>
  <si>
    <t>tbManagerCall_Message</t>
  </si>
  <si>
    <t>IsAdm</t>
  </si>
  <si>
    <t>Adminstration</t>
  </si>
  <si>
    <t>SystemSubDomain</t>
  </si>
  <si>
    <t>ContactMail</t>
  </si>
  <si>
    <t>SystemMessage</t>
  </si>
  <si>
    <t>DescName</t>
  </si>
  <si>
    <t>prdctDescName</t>
  </si>
  <si>
    <t>Signature.Field</t>
  </si>
  <si>
    <t>Signatur.FK</t>
  </si>
  <si>
    <t>Signature.Error</t>
  </si>
  <si>
    <t>OrderCreate.Table</t>
  </si>
  <si>
    <t>OrderCreate.FK</t>
  </si>
  <si>
    <t>OrderCreate.Error</t>
  </si>
  <si>
    <t>Erros.Total</t>
  </si>
  <si>
    <t>Unique.Incompatible</t>
  </si>
  <si>
    <t>PHP Field NickName</t>
  </si>
  <si>
    <t>table Main Index</t>
  </si>
  <si>
    <t>table Main Desc</t>
  </si>
  <si>
    <t>crinstSystemIdx</t>
  </si>
  <si>
    <t>crinstName</t>
  </si>
  <si>
    <t>crnamSystemIdx</t>
  </si>
  <si>
    <t>ordritmSystemIdx</t>
  </si>
  <si>
    <t>flltSystemIdx</t>
  </si>
  <si>
    <t>flltestSystemIdx</t>
  </si>
  <si>
    <t>cllestSystemIdx</t>
  </si>
  <si>
    <t>cllmsgSystemIdx</t>
  </si>
  <si>
    <t>faqSystemIdx</t>
  </si>
  <si>
    <t>trsctnSystemIdx</t>
  </si>
  <si>
    <t>trsctnstsSystemIdx</t>
  </si>
  <si>
    <t>errSystemIdx</t>
  </si>
  <si>
    <t>crnamName</t>
  </si>
  <si>
    <t>estdtParticName</t>
  </si>
  <si>
    <t>ordrStudent</t>
  </si>
  <si>
    <t>ordritmProduct</t>
  </si>
  <si>
    <t>ordrstsName</t>
  </si>
  <si>
    <t>flltGenerationDT</t>
  </si>
  <si>
    <t>flltestStudentID</t>
  </si>
  <si>
    <t>cllTittle</t>
  </si>
  <si>
    <t>cllestManagerCalling</t>
  </si>
  <si>
    <t>cllmsgMessage</t>
  </si>
  <si>
    <t>faqAsk</t>
  </si>
  <si>
    <t>fntaccName</t>
  </si>
  <si>
    <t>trsctnRemoteCode</t>
  </si>
  <si>
    <t>fntchName</t>
  </si>
  <si>
    <t>trsctnstsName</t>
  </si>
  <si>
    <t>usrName</t>
  </si>
  <si>
    <t>errSystemMessage</t>
  </si>
  <si>
    <t>fllest</t>
  </si>
  <si>
    <t>Table Name</t>
  </si>
  <si>
    <t>Table Descr</t>
  </si>
  <si>
    <t>Table Prefix</t>
  </si>
  <si>
    <t>Table Name Complete</t>
  </si>
  <si>
    <t>ID</t>
  </si>
  <si>
    <t>RG</t>
  </si>
  <si>
    <t>Indicador</t>
  </si>
  <si>
    <t>Nome</t>
  </si>
  <si>
    <t>Sexo</t>
  </si>
  <si>
    <t>Email</t>
  </si>
  <si>
    <t>CPF</t>
  </si>
  <si>
    <t>CEP</t>
  </si>
  <si>
    <t>Data de Nascimento</t>
  </si>
  <si>
    <t>Celular</t>
  </si>
  <si>
    <t>Senha</t>
  </si>
  <si>
    <t>Instituto de Ensino</t>
  </si>
  <si>
    <t>Curso</t>
  </si>
  <si>
    <t>Tipo de Formação</t>
  </si>
  <si>
    <t>Modalidade</t>
  </si>
  <si>
    <t>Matrícula</t>
  </si>
  <si>
    <t>Ano atual de Estudo</t>
  </si>
  <si>
    <t>Ano de Conclusão</t>
  </si>
  <si>
    <t>Endereço</t>
  </si>
  <si>
    <t>Número</t>
  </si>
  <si>
    <t>Complemento</t>
  </si>
  <si>
    <t>Cidade</t>
  </si>
  <si>
    <t>Estado</t>
  </si>
  <si>
    <t>Bairro</t>
  </si>
  <si>
    <t>Extenção Foto Face</t>
  </si>
  <si>
    <t>Extensão Identidade Frente</t>
  </si>
  <si>
    <t>Extensão Identidade Verso</t>
  </si>
  <si>
    <t>Comprovante de Endereço</t>
  </si>
  <si>
    <t>Comprovante de Matrícula</t>
  </si>
  <si>
    <t>Revisor</t>
  </si>
  <si>
    <t>Autor</t>
  </si>
  <si>
    <t>Data de revisão</t>
  </si>
  <si>
    <t>Administração</t>
  </si>
  <si>
    <t>Iniciais</t>
  </si>
  <si>
    <t>Produto</t>
  </si>
  <si>
    <t>Promoção</t>
  </si>
  <si>
    <t>Conta</t>
  </si>
  <si>
    <t>Tipo</t>
  </si>
  <si>
    <t>Título</t>
  </si>
  <si>
    <t>Total</t>
  </si>
  <si>
    <t>Linguagem</t>
  </si>
  <si>
    <t>Ano de Disponibilidade</t>
  </si>
  <si>
    <t>Preço Unitário</t>
  </si>
  <si>
    <t>Código de Promoção</t>
  </si>
  <si>
    <t>Ano de Validade</t>
  </si>
  <si>
    <t>Quantidade Máxima</t>
  </si>
  <si>
    <t>SubDomínio de Abrangência</t>
  </si>
  <si>
    <t>Destinatário</t>
  </si>
  <si>
    <t>Administrador</t>
  </si>
  <si>
    <t>Valor</t>
  </si>
  <si>
    <t>Telefone</t>
  </si>
  <si>
    <t>Cliente/Usuário</t>
  </si>
  <si>
    <t>Dados Extras</t>
  </si>
  <si>
    <t>Ordem de Compra</t>
  </si>
  <si>
    <t>Código de Transação</t>
  </si>
  <si>
    <t>Código da última Notificação</t>
  </si>
  <si>
    <t>Link do Boleto</t>
  </si>
  <si>
    <t>Site</t>
  </si>
  <si>
    <t>Contato</t>
  </si>
  <si>
    <t>Parametros gerais</t>
  </si>
  <si>
    <t>login</t>
  </si>
  <si>
    <t>Token SandBox</t>
  </si>
  <si>
    <t>Comprador de Teste</t>
  </si>
  <si>
    <t>Senha comprador de Teste</t>
  </si>
  <si>
    <t>Satus</t>
  </si>
  <si>
    <t>Preço Produto</t>
  </si>
  <si>
    <t>Código de Status</t>
  </si>
  <si>
    <t>Data de Geração</t>
  </si>
  <si>
    <t>Rastreio Correio</t>
  </si>
  <si>
    <t>Lot</t>
  </si>
  <si>
    <t>Lote</t>
  </si>
  <si>
    <t>tittle</t>
  </si>
  <si>
    <t>Fields</t>
  </si>
  <si>
    <t>Field1</t>
  </si>
  <si>
    <t>Field2</t>
  </si>
  <si>
    <t>Field3</t>
  </si>
  <si>
    <t>Field4</t>
  </si>
  <si>
    <t>Field5</t>
  </si>
  <si>
    <t>Field6</t>
  </si>
  <si>
    <t>Field7</t>
  </si>
  <si>
    <t>Field8</t>
  </si>
  <si>
    <t>Field9</t>
  </si>
  <si>
    <t>Field10</t>
  </si>
  <si>
    <t>Tipo de Formação Acadêmica</t>
  </si>
  <si>
    <t>Modalidades de Curso</t>
  </si>
  <si>
    <t>Estados</t>
  </si>
  <si>
    <t>CourseAdminstration</t>
  </si>
  <si>
    <t>Range de Administração</t>
  </si>
  <si>
    <t>Status da Entrega e Aprovação</t>
  </si>
  <si>
    <t>DeliveryStatus</t>
  </si>
  <si>
    <t>Status da Entrega e Aprovação na transação</t>
  </si>
  <si>
    <t>StatusCod</t>
  </si>
  <si>
    <t>Código de Status de Transação</t>
  </si>
  <si>
    <t>Data de geração do Arquivo</t>
  </si>
  <si>
    <t>Resume</t>
  </si>
  <si>
    <t>Resumo do Chamado</t>
  </si>
  <si>
    <t>Satus Final do Chamado</t>
  </si>
  <si>
    <t>ID da Mensagem</t>
  </si>
  <si>
    <t>CallStatus</t>
  </si>
  <si>
    <t>Status dos Chamados</t>
  </si>
  <si>
    <t>Fundamental</t>
  </si>
  <si>
    <t>Médio</t>
  </si>
  <si>
    <t>Graduação</t>
  </si>
  <si>
    <t>Técnico</t>
  </si>
  <si>
    <t>Pós Graduação</t>
  </si>
  <si>
    <t>MBA</t>
  </si>
  <si>
    <t>Presencial</t>
  </si>
  <si>
    <t>Distância</t>
  </si>
  <si>
    <t>Semi-Presencial</t>
  </si>
  <si>
    <t>Module</t>
  </si>
  <si>
    <t>Arquivo de Módulo da FinTech</t>
  </si>
  <si>
    <t>Módulo</t>
  </si>
  <si>
    <t>Privada</t>
  </si>
  <si>
    <t>Municipal</t>
  </si>
  <si>
    <t>Militar</t>
  </si>
  <si>
    <t>Filantrópica</t>
  </si>
  <si>
    <t>Federal</t>
  </si>
  <si>
    <t>Estadual</t>
  </si>
  <si>
    <t>Distrital</t>
  </si>
  <si>
    <t>Linhas</t>
  </si>
  <si>
    <t>incompl</t>
  </si>
  <si>
    <t>analize</t>
  </si>
  <si>
    <t>revisio</t>
  </si>
  <si>
    <t>disappr</t>
  </si>
  <si>
    <t>approve</t>
  </si>
  <si>
    <t>gerated</t>
  </si>
  <si>
    <t>Incompleto</t>
  </si>
  <si>
    <t>Análise</t>
  </si>
  <si>
    <t>Revisão</t>
  </si>
  <si>
    <t>Reprovado</t>
  </si>
  <si>
    <t>Aprovado</t>
  </si>
  <si>
    <t>Finalizado</t>
  </si>
  <si>
    <t>#E6E6E6</t>
  </si>
  <si>
    <t>MediumSeaGreen</t>
  </si>
  <si>
    <t>Orange</t>
  </si>
  <si>
    <t>OrangeRed</t>
  </si>
  <si>
    <t>Tomato</t>
  </si>
  <si>
    <t>DodgerBlue</t>
  </si>
  <si>
    <t>cod;desc;color</t>
  </si>
  <si>
    <t>Cancelado</t>
  </si>
  <si>
    <t>Aberto/Espera</t>
  </si>
  <si>
    <t>Encerrado</t>
  </si>
  <si>
    <t>Status da FinTech</t>
  </si>
  <si>
    <t>Status da Entrega</t>
  </si>
  <si>
    <t>PHP Options Lists</t>
  </si>
  <si>
    <t>lk</t>
  </si>
  <si>
    <t>eq</t>
  </si>
  <si>
    <t>js Filter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</si>
</sst>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3" fillId="4" borderId="0" xfId="0" applyFont="1" applyFill="1" applyAlignment="1">
      <alignment horizontal="center"/>
    </xf>
    <xf numFmtId="0" fontId="0" fillId="5" borderId="0" xfId="0" applyFill="1"/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textRotation="90" wrapText="1"/>
    </xf>
    <xf numFmtId="0" fontId="1" fillId="2" borderId="0" xfId="0" applyFont="1" applyFill="1" applyAlignment="1">
      <alignment horizontal="center" vertical="top" textRotation="180"/>
    </xf>
    <xf numFmtId="0" fontId="1" fillId="2" borderId="0" xfId="0" applyFont="1" applyFill="1" applyAlignment="1">
      <alignment horizontal="center" vertical="top" textRotation="180" wrapText="1"/>
    </xf>
    <xf numFmtId="0" fontId="1" fillId="2" borderId="0" xfId="0" applyFont="1" applyFill="1" applyAlignment="1">
      <alignment horizontal="center" vertical="center" textRotation="90" wrapText="1"/>
    </xf>
    <xf numFmtId="0" fontId="1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 applyAlignment="1">
      <alignment horizontal="center"/>
    </xf>
    <xf numFmtId="0" fontId="0" fillId="0" borderId="8" xfId="0" applyBorder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5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vertical="center" wrapText="1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3" fillId="4" borderId="0" xfId="0" applyFont="1" applyFill="1"/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top" textRotation="90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6" borderId="1" xfId="0" applyFill="1" applyBorder="1"/>
  </cellXfs>
  <cellStyles count="1">
    <cellStyle name="Normal" xfId="0" builtinId="0"/>
  </cellStyles>
  <dxfs count="8">
    <dxf>
      <fill>
        <patternFill>
          <bgColor theme="7"/>
        </patternFill>
      </fill>
    </dxf>
    <dxf>
      <fill>
        <patternFill>
          <bgColor rgb="FFC0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728BC-8754-4423-B121-7007DF2CA317}">
  <sheetPr codeName="plnTables"/>
  <dimension ref="A1:I2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0" sqref="D10"/>
    </sheetView>
  </sheetViews>
  <sheetFormatPr defaultRowHeight="15" x14ac:dyDescent="0.25"/>
  <cols>
    <col min="1" max="1" width="3" style="5" bestFit="1" customWidth="1"/>
    <col min="2" max="2" width="6.85546875" style="2" bestFit="1" customWidth="1"/>
    <col min="3" max="3" width="32.7109375" bestFit="1" customWidth="1"/>
    <col min="4" max="4" width="43.28515625" bestFit="1" customWidth="1"/>
    <col min="5" max="5" width="11.140625" bestFit="1" customWidth="1"/>
    <col min="6" max="6" width="34.7109375" style="6" bestFit="1" customWidth="1"/>
    <col min="7" max="7" width="9.140625" style="4"/>
    <col min="8" max="8" width="17.85546875" style="8" bestFit="1" customWidth="1"/>
    <col min="9" max="9" width="19.7109375" style="8" bestFit="1" customWidth="1"/>
  </cols>
  <sheetData>
    <row r="1" spans="1:9" s="15" customFormat="1" ht="45" x14ac:dyDescent="0.25">
      <c r="A1" s="21" t="s">
        <v>0</v>
      </c>
      <c r="B1" s="22" t="s">
        <v>242</v>
      </c>
      <c r="C1" s="23" t="s">
        <v>410</v>
      </c>
      <c r="D1" s="23" t="s">
        <v>411</v>
      </c>
      <c r="E1" s="23" t="s">
        <v>412</v>
      </c>
      <c r="F1" s="24" t="s">
        <v>413</v>
      </c>
      <c r="G1" s="25" t="s">
        <v>146</v>
      </c>
      <c r="H1" s="9" t="s">
        <v>378</v>
      </c>
      <c r="I1" s="9" t="s">
        <v>379</v>
      </c>
    </row>
    <row r="2" spans="1:9" x14ac:dyDescent="0.25">
      <c r="A2" s="26">
        <f>IF(B2="","",MAX($A$1:$A1)+1)</f>
        <v>1</v>
      </c>
      <c r="B2" s="18">
        <v>1</v>
      </c>
      <c r="C2" s="19" t="s">
        <v>17</v>
      </c>
      <c r="D2" s="19" t="s">
        <v>5</v>
      </c>
      <c r="E2" s="19" t="s">
        <v>32</v>
      </c>
      <c r="F2" s="20" t="str">
        <f t="shared" ref="F2:F14" si="0">IF(C2="","",_xlfn.CONCAT("tb",C2))</f>
        <v>tbClientCourseInstitutions</v>
      </c>
      <c r="G2" s="27">
        <f>IF(F2="","",COUNTIF(Fields!B:B,Tables!F2))</f>
        <v>10</v>
      </c>
      <c r="H2" s="8" t="s">
        <v>380</v>
      </c>
      <c r="I2" s="8" t="s">
        <v>381</v>
      </c>
    </row>
    <row r="3" spans="1:9" x14ac:dyDescent="0.25">
      <c r="A3" s="26">
        <f>IF(B3="","",MAX($A$1:$A2)+1)</f>
        <v>2</v>
      </c>
      <c r="B3" s="18">
        <v>2</v>
      </c>
      <c r="C3" s="19" t="s">
        <v>18</v>
      </c>
      <c r="D3" s="19" t="s">
        <v>6</v>
      </c>
      <c r="E3" s="19" t="s">
        <v>31</v>
      </c>
      <c r="F3" s="20" t="str">
        <f t="shared" si="0"/>
        <v>tbClientCourseNames</v>
      </c>
      <c r="G3" s="27">
        <f>IF(F3="","",COUNTIF(Fields!B:B,Tables!F3))</f>
        <v>7</v>
      </c>
      <c r="H3" s="8" t="s">
        <v>382</v>
      </c>
      <c r="I3" s="8" t="s">
        <v>392</v>
      </c>
    </row>
    <row r="4" spans="1:9" x14ac:dyDescent="0.25">
      <c r="A4" s="26">
        <f>IF(B4="","",MAX($A$1:$A3)+1)</f>
        <v>3</v>
      </c>
      <c r="B4" s="18">
        <v>3</v>
      </c>
      <c r="C4" s="19" t="s">
        <v>14</v>
      </c>
      <c r="D4" s="19" t="s">
        <v>2</v>
      </c>
      <c r="E4" s="19" t="s">
        <v>30</v>
      </c>
      <c r="F4" s="20" t="str">
        <f t="shared" si="0"/>
        <v>tbClientEstudants</v>
      </c>
      <c r="G4" s="27">
        <f>IF(F4="","",COUNTIF(Fields!B:B,Tables!F4))</f>
        <v>35</v>
      </c>
      <c r="H4" s="8" t="s">
        <v>233</v>
      </c>
      <c r="I4" s="8" t="s">
        <v>393</v>
      </c>
    </row>
    <row r="5" spans="1:9" x14ac:dyDescent="0.25">
      <c r="A5" s="26">
        <f>IF(B5="","",MAX($A$1:$A4)+1)</f>
        <v>4</v>
      </c>
      <c r="B5" s="18">
        <v>12</v>
      </c>
      <c r="C5" s="19" t="s">
        <v>19</v>
      </c>
      <c r="D5" s="19" t="s">
        <v>7</v>
      </c>
      <c r="E5" s="19" t="s">
        <v>29</v>
      </c>
      <c r="F5" s="20" t="str">
        <f t="shared" si="0"/>
        <v>tbClientOrders</v>
      </c>
      <c r="G5" s="27">
        <f>IF(F5="","",COUNTIF(Fields!B:B,Tables!F5))</f>
        <v>10</v>
      </c>
      <c r="H5" s="8" t="s">
        <v>238</v>
      </c>
      <c r="I5" s="8" t="s">
        <v>394</v>
      </c>
    </row>
    <row r="6" spans="1:9" x14ac:dyDescent="0.25">
      <c r="A6" s="26">
        <f>IF(B6="","",MAX($A$1:$A5)+1)</f>
        <v>5</v>
      </c>
      <c r="B6" s="18">
        <v>14</v>
      </c>
      <c r="C6" s="19" t="s">
        <v>349</v>
      </c>
      <c r="D6" s="19" t="s">
        <v>310</v>
      </c>
      <c r="E6" s="19" t="s">
        <v>302</v>
      </c>
      <c r="F6" s="20" t="str">
        <f t="shared" si="0"/>
        <v>tbClientOrders_Items</v>
      </c>
      <c r="G6" s="27">
        <f>IF(F6="","",COUNTIF(Fields!B:B,Tables!F6))</f>
        <v>9</v>
      </c>
      <c r="H6" s="8" t="s">
        <v>383</v>
      </c>
      <c r="I6" s="8" t="s">
        <v>395</v>
      </c>
    </row>
    <row r="7" spans="1:9" x14ac:dyDescent="0.25">
      <c r="A7" s="26">
        <f>IF(B7="","",MAX($A$1:$A6)+1)</f>
        <v>6</v>
      </c>
      <c r="B7" s="18">
        <v>11</v>
      </c>
      <c r="C7" s="19" t="s">
        <v>348</v>
      </c>
      <c r="D7" s="19" t="s">
        <v>301</v>
      </c>
      <c r="E7" s="19" t="s">
        <v>305</v>
      </c>
      <c r="F7" s="20" t="str">
        <f t="shared" si="0"/>
        <v>tbClientOrders_Status</v>
      </c>
      <c r="G7" s="27">
        <f>IF(F7="","",COUNTIF(Fields!B:B,Tables!F7))</f>
        <v>7</v>
      </c>
      <c r="H7" s="8" t="s">
        <v>326</v>
      </c>
      <c r="I7" s="8" t="s">
        <v>396</v>
      </c>
    </row>
    <row r="8" spans="1:9" x14ac:dyDescent="0.25">
      <c r="A8" s="26">
        <f>IF(B8="","",MAX($A$1:$A7)+1)</f>
        <v>7</v>
      </c>
      <c r="B8" s="18">
        <v>16</v>
      </c>
      <c r="C8" s="19" t="s">
        <v>313</v>
      </c>
      <c r="D8" s="19" t="s">
        <v>307</v>
      </c>
      <c r="E8" s="19" t="s">
        <v>308</v>
      </c>
      <c r="F8" s="20" t="str">
        <f t="shared" si="0"/>
        <v>tbFileLots</v>
      </c>
      <c r="G8" s="27">
        <f>IF(F8="","",COUNTIF(Fields!B:B,Tables!F8))</f>
        <v>7</v>
      </c>
      <c r="H8" s="8" t="s">
        <v>384</v>
      </c>
      <c r="I8" s="8" t="s">
        <v>397</v>
      </c>
    </row>
    <row r="9" spans="1:9" x14ac:dyDescent="0.25">
      <c r="A9" s="26">
        <f>IF(B9="","",MAX($A$1:$A8)+1)</f>
        <v>8</v>
      </c>
      <c r="B9" s="18">
        <v>17</v>
      </c>
      <c r="C9" s="19" t="s">
        <v>314</v>
      </c>
      <c r="D9" s="19" t="s">
        <v>309</v>
      </c>
      <c r="E9" s="19" t="s">
        <v>409</v>
      </c>
      <c r="F9" s="20" t="str">
        <f t="shared" si="0"/>
        <v>tbFileLots_Clients</v>
      </c>
      <c r="G9" s="27">
        <f>IF(F9="","",COUNTIF(Fields!B:B,Tables!F9))</f>
        <v>9</v>
      </c>
      <c r="H9" s="8" t="s">
        <v>385</v>
      </c>
      <c r="I9" s="8" t="s">
        <v>398</v>
      </c>
    </row>
    <row r="10" spans="1:9" x14ac:dyDescent="0.25">
      <c r="A10" s="26">
        <f>IF(B10="","",MAX($A$1:$A9)+1)</f>
        <v>9</v>
      </c>
      <c r="B10" s="18">
        <v>9</v>
      </c>
      <c r="C10" s="19" t="s">
        <v>356</v>
      </c>
      <c r="D10" s="19" t="s">
        <v>13</v>
      </c>
      <c r="E10" s="19" t="s">
        <v>25</v>
      </c>
      <c r="F10" s="20" t="str">
        <f t="shared" si="0"/>
        <v>tbManagerCalls</v>
      </c>
      <c r="G10" s="27">
        <f>IF(F10="","",COUNTIF(Fields!B:B,Tables!F10))</f>
        <v>11</v>
      </c>
      <c r="H10" s="8" t="s">
        <v>341</v>
      </c>
      <c r="I10" s="8" t="s">
        <v>399</v>
      </c>
    </row>
    <row r="11" spans="1:9" x14ac:dyDescent="0.25">
      <c r="A11" s="26">
        <f>IF(B11="","",MAX($A$1:$A10)+1)</f>
        <v>10</v>
      </c>
      <c r="B11" s="18">
        <v>18</v>
      </c>
      <c r="C11" s="19" t="s">
        <v>358</v>
      </c>
      <c r="D11" s="19" t="s">
        <v>315</v>
      </c>
      <c r="E11" s="19" t="s">
        <v>316</v>
      </c>
      <c r="F11" s="20" t="str">
        <f t="shared" si="0"/>
        <v>tbManagerCall_Clients</v>
      </c>
      <c r="G11" s="27">
        <f>IF(F11="","",COUNTIF(Fields!B:B,Tables!F11))</f>
        <v>7</v>
      </c>
      <c r="H11" s="8" t="s">
        <v>386</v>
      </c>
      <c r="I11" s="8" t="s">
        <v>400</v>
      </c>
    </row>
    <row r="12" spans="1:9" x14ac:dyDescent="0.25">
      <c r="A12" s="26">
        <f>IF(B12="","",MAX($A$1:$A11)+1)</f>
        <v>11</v>
      </c>
      <c r="B12" s="18">
        <v>19</v>
      </c>
      <c r="C12" s="19" t="s">
        <v>360</v>
      </c>
      <c r="D12" s="19" t="s">
        <v>317</v>
      </c>
      <c r="E12" s="19" t="s">
        <v>318</v>
      </c>
      <c r="F12" s="20" t="str">
        <f t="shared" si="0"/>
        <v>tbManagerCall_Message</v>
      </c>
      <c r="G12" s="27">
        <f>IF(F12="","",COUNTIF(Fields!B:B,Tables!F12))</f>
        <v>9</v>
      </c>
      <c r="H12" s="8" t="s">
        <v>387</v>
      </c>
      <c r="I12" s="8" t="s">
        <v>401</v>
      </c>
    </row>
    <row r="13" spans="1:9" x14ac:dyDescent="0.25">
      <c r="A13" s="26">
        <f>IF(B13="","",MAX($A$1:$A12)+1)</f>
        <v>12</v>
      </c>
      <c r="B13" s="18">
        <v>5</v>
      </c>
      <c r="C13" s="19" t="s">
        <v>21</v>
      </c>
      <c r="D13" s="19" t="s">
        <v>12</v>
      </c>
      <c r="E13" s="19" t="s">
        <v>28</v>
      </c>
      <c r="F13" s="20" t="str">
        <f t="shared" si="0"/>
        <v>tbManagerFAQs</v>
      </c>
      <c r="G13" s="27">
        <f>IF(F13="","",COUNTIF(Fields!B:B,Tables!F13))</f>
        <v>9</v>
      </c>
      <c r="H13" s="8" t="s">
        <v>388</v>
      </c>
      <c r="I13" s="8" t="s">
        <v>402</v>
      </c>
    </row>
    <row r="14" spans="1:9" x14ac:dyDescent="0.25">
      <c r="A14" s="26">
        <f>IF(B14="","",MAX($A$1:$A13)+1)</f>
        <v>13</v>
      </c>
      <c r="B14" s="18">
        <v>8</v>
      </c>
      <c r="C14" s="19" t="s">
        <v>350</v>
      </c>
      <c r="D14" s="19" t="s">
        <v>202</v>
      </c>
      <c r="E14" s="19" t="s">
        <v>203</v>
      </c>
      <c r="F14" s="20" t="str">
        <f t="shared" si="0"/>
        <v>tbManagerFinTech_Accounts</v>
      </c>
      <c r="G14" s="27">
        <f>IF(F14="","",COUNTIF(Fields!B:B,Tables!F14))</f>
        <v>12</v>
      </c>
      <c r="H14" s="8" t="s">
        <v>236</v>
      </c>
      <c r="I14" s="8" t="s">
        <v>403</v>
      </c>
    </row>
    <row r="15" spans="1:9" x14ac:dyDescent="0.25">
      <c r="A15" s="26">
        <f>IF(B15="","",MAX($A$1:$A14)+1)</f>
        <v>14</v>
      </c>
      <c r="B15" s="18">
        <v>15</v>
      </c>
      <c r="C15" s="19" t="s">
        <v>351</v>
      </c>
      <c r="D15" s="19" t="s">
        <v>9</v>
      </c>
      <c r="E15" s="19" t="s">
        <v>24</v>
      </c>
      <c r="F15" s="20" t="str">
        <f t="shared" ref="F15:F18" si="1">IF(C15="","",_xlfn.CONCAT("tb",C15))</f>
        <v>tbManagerFinTech_Transactions</v>
      </c>
      <c r="G15" s="27">
        <f>IF(F15="","",COUNTIF(Fields!B:B,Tables!F15))</f>
        <v>16</v>
      </c>
      <c r="H15" s="8" t="s">
        <v>389</v>
      </c>
      <c r="I15" s="8" t="s">
        <v>404</v>
      </c>
    </row>
    <row r="16" spans="1:9" x14ac:dyDescent="0.25">
      <c r="A16" s="26">
        <f>IF(B16="","",MAX($A$1:$A15)+1)</f>
        <v>15</v>
      </c>
      <c r="B16" s="18">
        <v>7</v>
      </c>
      <c r="C16" s="19" t="s">
        <v>312</v>
      </c>
      <c r="D16" s="19" t="s">
        <v>175</v>
      </c>
      <c r="E16" s="19" t="s">
        <v>174</v>
      </c>
      <c r="F16" s="20" t="str">
        <f t="shared" si="1"/>
        <v>tbManagerFinTechs</v>
      </c>
      <c r="G16" s="27">
        <f>IF(F16="","",COUNTIF(Fields!B:B,Tables!F16))</f>
        <v>12</v>
      </c>
      <c r="H16" s="8" t="s">
        <v>332</v>
      </c>
      <c r="I16" s="8" t="s">
        <v>405</v>
      </c>
    </row>
    <row r="17" spans="1:9" x14ac:dyDescent="0.25">
      <c r="A17" s="26">
        <f>IF(B17="","",MAX($A$1:$A16)+1)</f>
        <v>16</v>
      </c>
      <c r="B17" s="18">
        <v>13</v>
      </c>
      <c r="C17" s="19" t="s">
        <v>303</v>
      </c>
      <c r="D17" s="19" t="s">
        <v>304</v>
      </c>
      <c r="E17" s="19" t="s">
        <v>306</v>
      </c>
      <c r="F17" s="20" t="str">
        <f t="shared" si="1"/>
        <v>tbManagerFinTechTransactionsStatus</v>
      </c>
      <c r="G17" s="27">
        <f>IF(F17="","",COUNTIF(Fields!B:B,Tables!F17))</f>
        <v>9</v>
      </c>
      <c r="H17" s="8" t="s">
        <v>390</v>
      </c>
      <c r="I17" s="8" t="s">
        <v>406</v>
      </c>
    </row>
    <row r="18" spans="1:9" x14ac:dyDescent="0.25">
      <c r="A18" s="26">
        <f>IF(B18="","",MAX($A$1:$A17)+1)</f>
        <v>17</v>
      </c>
      <c r="B18" s="18">
        <v>4</v>
      </c>
      <c r="C18" s="19" t="s">
        <v>16</v>
      </c>
      <c r="D18" s="19" t="s">
        <v>4</v>
      </c>
      <c r="E18" s="19" t="s">
        <v>27</v>
      </c>
      <c r="F18" s="20" t="str">
        <f t="shared" si="1"/>
        <v>tbManagerProducts</v>
      </c>
      <c r="G18" s="27">
        <f>IF(F18="","",COUNTIF(Fields!B:B,Tables!F18))</f>
        <v>9</v>
      </c>
      <c r="H18" s="8" t="s">
        <v>234</v>
      </c>
      <c r="I18" s="8" t="s">
        <v>368</v>
      </c>
    </row>
    <row r="19" spans="1:9" x14ac:dyDescent="0.25">
      <c r="A19" s="26">
        <f>IF(B19="","",MAX($A$1:$A18)+1)</f>
        <v>18</v>
      </c>
      <c r="B19" s="18">
        <v>10</v>
      </c>
      <c r="C19" s="19" t="s">
        <v>20</v>
      </c>
      <c r="D19" s="19" t="s">
        <v>8</v>
      </c>
      <c r="E19" s="19" t="s">
        <v>26</v>
      </c>
      <c r="F19" s="20" t="str">
        <f t="shared" ref="F19:F22" si="2">IF(C19="","",_xlfn.CONCAT("tb",C19))</f>
        <v>tbManagerPromotions</v>
      </c>
      <c r="G19" s="27">
        <f>IF(F19="","",COUNTIF(Fields!B:B,Tables!F19))</f>
        <v>14</v>
      </c>
      <c r="H19" s="8" t="s">
        <v>235</v>
      </c>
      <c r="I19" s="8" t="s">
        <v>291</v>
      </c>
    </row>
    <row r="20" spans="1:9" x14ac:dyDescent="0.25">
      <c r="A20" s="26">
        <f>IF(B20="","",MAX($A$1:$A19)+1)</f>
        <v>19</v>
      </c>
      <c r="B20" s="18">
        <v>0</v>
      </c>
      <c r="C20" s="19" t="s">
        <v>15</v>
      </c>
      <c r="D20" s="19" t="s">
        <v>3</v>
      </c>
      <c r="E20" s="19" t="s">
        <v>22</v>
      </c>
      <c r="F20" s="20" t="str">
        <f t="shared" si="2"/>
        <v>tbManagerUsers</v>
      </c>
      <c r="G20" s="27">
        <f>IF(F20="","",COUNTIF(Fields!B:B,Tables!F20))</f>
        <v>10</v>
      </c>
      <c r="H20" s="8" t="s">
        <v>232</v>
      </c>
      <c r="I20" s="8" t="s">
        <v>407</v>
      </c>
    </row>
    <row r="21" spans="1:9" x14ac:dyDescent="0.25">
      <c r="A21" s="26">
        <f>IF(B21="","",MAX($A$1:$A20)+1)</f>
        <v>20</v>
      </c>
      <c r="B21" s="18">
        <v>6</v>
      </c>
      <c r="C21" s="19" t="s">
        <v>10</v>
      </c>
      <c r="D21" s="19" t="s">
        <v>11</v>
      </c>
      <c r="E21" s="19" t="s">
        <v>23</v>
      </c>
      <c r="F21" s="20" t="str">
        <f t="shared" si="2"/>
        <v>tbSystemErrors</v>
      </c>
      <c r="G21" s="27">
        <f>IF(F21="","",COUNTIF(Fields!B:B,Tables!F21))</f>
        <v>13</v>
      </c>
      <c r="H21" s="8" t="s">
        <v>391</v>
      </c>
      <c r="I21" s="8" t="s">
        <v>408</v>
      </c>
    </row>
    <row r="22" spans="1:9" ht="15.75" thickBot="1" x14ac:dyDescent="0.3">
      <c r="A22" s="28" t="str">
        <f>IF(B22="","",MAX($A$1:$A21)+1)</f>
        <v/>
      </c>
      <c r="B22" s="29"/>
      <c r="C22" s="30"/>
      <c r="D22" s="30"/>
      <c r="E22" s="30"/>
      <c r="F22" s="20" t="str">
        <f t="shared" si="2"/>
        <v/>
      </c>
      <c r="G22" s="27" t="str">
        <f>IF(F22="","",COUNTIF(Fields!B:B,Tables!F22))</f>
        <v/>
      </c>
    </row>
  </sheetData>
  <sortState xmlns:xlrd2="http://schemas.microsoft.com/office/spreadsheetml/2017/richdata2" ref="B2:E21">
    <sortCondition ref="C2:C21"/>
  </sortState>
  <conditionalFormatting sqref="B1:B1048576">
    <cfRule type="duplicateValues" dxfId="7" priority="5"/>
  </conditionalFormatting>
  <conditionalFormatting sqref="C1:C1048576">
    <cfRule type="duplicateValues" dxfId="6" priority="4"/>
  </conditionalFormatting>
  <conditionalFormatting sqref="D1:D1048576">
    <cfRule type="duplicateValues" dxfId="5" priority="3"/>
  </conditionalFormatting>
  <conditionalFormatting sqref="E1:E1048576">
    <cfRule type="duplicateValues" dxfId="4" priority="2"/>
  </conditionalFormatting>
  <conditionalFormatting sqref="G1:G1048576">
    <cfRule type="expression" dxfId="3" priority="1">
      <formula>AND($G1=0,$G1&lt;&gt;"")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F9E66D-4A85-4DD2-9AA2-460C1162EE44}">
          <x14:formula1>
            <xm:f>OFFSET(Fields!$F$1,MATCH($F2,Fields!$B:$B,0)-1,,COUNTIF(Fields!$B:$B,$F2))</xm:f>
          </x14:formula1>
          <xm:sqref>H2:I1048576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D646-9B64-417B-AB0F-845F3A6DA8B8}">
  <sheetPr codeName="plnFields" filterMode="1"/>
  <dimension ref="A1:AH226"/>
  <sheetViews>
    <sheetView tabSelected="1" zoomScale="85" zoomScaleNormal="85" workbookViewId="0">
      <pane xSplit="6" ySplit="1" topLeftCell="S4" activePane="bottomRight" state="frozen"/>
      <selection pane="topRight" activeCell="F1" sqref="F1"/>
      <selection pane="bottomLeft" activeCell="A2" sqref="A2"/>
      <selection pane="bottomRight" activeCell="U75" sqref="U75"/>
    </sheetView>
  </sheetViews>
  <sheetFormatPr defaultRowHeight="15" x14ac:dyDescent="0.25"/>
  <cols>
    <col min="1" max="1" width="7.5703125" style="5" bestFit="1" customWidth="1"/>
    <col min="2" max="2" width="36.5703125" style="8" bestFit="1" customWidth="1"/>
    <col min="3" max="3" width="11.140625" style="7" hidden="1" customWidth="1"/>
    <col min="4" max="4" width="10.85546875" style="3" hidden="1" customWidth="1"/>
    <col min="5" max="5" width="21.85546875" bestFit="1" customWidth="1"/>
    <col min="6" max="6" width="28.42578125" style="1" bestFit="1" customWidth="1"/>
    <col min="7" max="7" width="9.85546875" bestFit="1" customWidth="1"/>
    <col min="8" max="8" width="5.85546875" style="17" customWidth="1"/>
    <col min="9" max="9" width="4.5703125" style="17" customWidth="1"/>
    <col min="10" max="17" width="4.7109375" style="2" customWidth="1"/>
    <col min="18" max="18" width="22.85546875" style="2" customWidth="1"/>
    <col min="19" max="19" width="38.85546875" customWidth="1"/>
    <col min="20" max="20" width="27.85546875" style="8" customWidth="1"/>
    <col min="21" max="21" width="24" style="8" customWidth="1"/>
    <col min="22" max="22" width="46.5703125" style="1" customWidth="1"/>
    <col min="23" max="23" width="23.85546875" style="53" hidden="1" customWidth="1"/>
    <col min="24" max="25" width="25" style="53" hidden="1" customWidth="1"/>
    <col min="26" max="29" width="25" style="7" hidden="1" customWidth="1"/>
    <col min="30" max="30" width="6.140625" style="54" customWidth="1"/>
    <col min="31" max="31" width="11.140625" style="2" bestFit="1" customWidth="1"/>
    <col min="32" max="32" width="27.140625" bestFit="1" customWidth="1"/>
    <col min="33" max="33" width="20.85546875" style="8" bestFit="1" customWidth="1"/>
    <col min="34" max="34" width="5.7109375" style="2" customWidth="1"/>
  </cols>
  <sheetData>
    <row r="1" spans="1:34" s="10" customFormat="1" ht="70.5" x14ac:dyDescent="0.25">
      <c r="A1" s="10" t="s">
        <v>0</v>
      </c>
      <c r="B1" s="10" t="s">
        <v>33</v>
      </c>
      <c r="C1" s="11" t="s">
        <v>230</v>
      </c>
      <c r="D1" s="10" t="s">
        <v>34</v>
      </c>
      <c r="E1" s="10" t="s">
        <v>44</v>
      </c>
      <c r="F1" s="10" t="s">
        <v>45</v>
      </c>
      <c r="G1" s="12" t="s">
        <v>35</v>
      </c>
      <c r="H1" s="12" t="s">
        <v>246</v>
      </c>
      <c r="I1" s="12" t="s">
        <v>247</v>
      </c>
      <c r="J1" s="12" t="s">
        <v>36</v>
      </c>
      <c r="K1" s="12" t="s">
        <v>37</v>
      </c>
      <c r="L1" s="12" t="s">
        <v>38</v>
      </c>
      <c r="M1" s="12" t="s">
        <v>39</v>
      </c>
      <c r="N1" s="12" t="s">
        <v>40</v>
      </c>
      <c r="O1" s="12" t="s">
        <v>41</v>
      </c>
      <c r="P1" s="13" t="s">
        <v>74</v>
      </c>
      <c r="Q1" s="12" t="s">
        <v>42</v>
      </c>
      <c r="R1" s="10" t="s">
        <v>43</v>
      </c>
      <c r="S1" s="10" t="s">
        <v>47</v>
      </c>
      <c r="T1" s="9" t="s">
        <v>219</v>
      </c>
      <c r="U1" s="9" t="s">
        <v>220</v>
      </c>
      <c r="V1" s="9" t="s">
        <v>240</v>
      </c>
      <c r="W1" s="52" t="s">
        <v>369</v>
      </c>
      <c r="X1" s="52" t="s">
        <v>370</v>
      </c>
      <c r="Y1" s="52" t="s">
        <v>371</v>
      </c>
      <c r="Z1" s="52" t="s">
        <v>372</v>
      </c>
      <c r="AA1" s="52" t="s">
        <v>373</v>
      </c>
      <c r="AB1" s="52" t="s">
        <v>374</v>
      </c>
      <c r="AC1" s="52" t="s">
        <v>376</v>
      </c>
      <c r="AD1" s="55" t="s">
        <v>375</v>
      </c>
      <c r="AE1" s="14" t="s">
        <v>106</v>
      </c>
      <c r="AF1" s="9" t="s">
        <v>377</v>
      </c>
      <c r="AG1" s="10" t="s">
        <v>558</v>
      </c>
      <c r="AH1" s="9" t="s">
        <v>561</v>
      </c>
    </row>
    <row r="2" spans="1:34" hidden="1" x14ac:dyDescent="0.25">
      <c r="A2" s="5">
        <f>IF(B2="","",MAX($A$1:$A1)+1)</f>
        <v>1</v>
      </c>
      <c r="B2" s="8" t="s">
        <v>221</v>
      </c>
      <c r="C2" s="7">
        <f>IF(B2="","",MATCH(B2,Tables!F:F,0))</f>
        <v>4</v>
      </c>
      <c r="D2" s="3" t="str" cm="1">
        <f t="array" ref="D2">IF(C2="","",IF(ISERROR(C2),"",INDEX(Tables!E:E,C2)))</f>
        <v>estdt</v>
      </c>
      <c r="E2" t="s">
        <v>218</v>
      </c>
      <c r="F2" s="1" t="str">
        <f>IF(E2="","",_xlfn.CONCAT(D2,E2))</f>
        <v>estdtSystemIdx</v>
      </c>
      <c r="G2" t="s">
        <v>243</v>
      </c>
      <c r="H2" s="17">
        <v>7</v>
      </c>
      <c r="J2" s="2" t="s">
        <v>46</v>
      </c>
      <c r="K2" s="2" t="s">
        <v>46</v>
      </c>
      <c r="L2" s="2" t="s">
        <v>46</v>
      </c>
      <c r="N2" s="2" t="s">
        <v>46</v>
      </c>
      <c r="P2" s="2" t="s">
        <v>46</v>
      </c>
      <c r="S2" t="s">
        <v>76</v>
      </c>
      <c r="V2" s="1" t="str">
        <f>IF(OR(T2="",U2=""),"",_xlfn.CONCAT("FK_",F2,"_",U2))</f>
        <v/>
      </c>
      <c r="W2" s="53" t="str">
        <f>_xlfn.CONCAT("type",G2,"_size",H2,IF(M2="","","_binary"),IF(N2="","","_unsigned"),IF(O2="","","_zeroFill"))</f>
        <v>typeint_size7_unsigned</v>
      </c>
      <c r="X2" s="53" t="str">
        <f t="shared" ref="X2:X65" si="0">IF(U2="","",INDEX(W:W,MATCH(U2,F:F,)))</f>
        <v/>
      </c>
      <c r="Y2" s="53">
        <f>IF(X2="",0,IF(ISERROR(X2),1,IF(X2&lt;&gt;W2,1,0)))</f>
        <v>0</v>
      </c>
      <c r="Z2" s="7">
        <f>IF($B2="",0,INDEX(Tables!$B:$B,MATCH($B2,Tables!$F:$F,0)))</f>
        <v>3</v>
      </c>
      <c r="AA2" s="7" t="str">
        <f>IF($T2="","",INDEX(Tables!$B:$B,MATCH($T2,Tables!$F:$F,0)))</f>
        <v/>
      </c>
      <c r="AB2" s="7">
        <f>IF($AA2="",0,IF(ISERROR($AA2),1,IF($Z2&lt;=$AA2,1,0)))</f>
        <v>0</v>
      </c>
      <c r="AC2" s="7">
        <f>IF(L2="",0,IF(AND(OR(G2="int",G2="varchar",G2="datetime"),H2&lt;&gt;""),0,1))</f>
        <v>0</v>
      </c>
      <c r="AD2" s="54">
        <f>Y2+AB2+AC2</f>
        <v>0</v>
      </c>
      <c r="AE2" s="2" t="s">
        <v>107</v>
      </c>
      <c r="AF2" t="s">
        <v>414</v>
      </c>
    </row>
    <row r="3" spans="1:34" hidden="1" x14ac:dyDescent="0.25">
      <c r="A3" s="5">
        <f>IF(B3="","",MAX($A$1:$A2)+1)</f>
        <v>2</v>
      </c>
      <c r="B3" s="8" t="s">
        <v>221</v>
      </c>
      <c r="C3" s="7">
        <f>IF(B3="","",MATCH(B3,Tables!F:F,0))</f>
        <v>4</v>
      </c>
      <c r="D3" s="3" t="str" cm="1">
        <f t="array" ref="D3">IF(C3="","",IF(ISERROR(C3),"",INDEX(Tables!E:E,C3)))</f>
        <v>estdt</v>
      </c>
      <c r="E3" t="s">
        <v>320</v>
      </c>
      <c r="F3" s="1" t="str">
        <f t="shared" ref="F3:F64" si="1">IF(E3="","",_xlfn.CONCAT(D3,E3))</f>
        <v>estdtParticSaler</v>
      </c>
      <c r="G3" t="s">
        <v>243</v>
      </c>
      <c r="H3" s="17">
        <v>7</v>
      </c>
      <c r="N3" s="2" t="s">
        <v>46</v>
      </c>
      <c r="S3" t="s">
        <v>321</v>
      </c>
      <c r="W3" s="53" t="str">
        <f t="shared" ref="W3:W10" si="2">_xlfn.CONCAT("type",G3,"_size",H3,IF(M3="","","_binary"),IF(N3="","","_unsigned"),IF(O3="","","_zeroFill"))</f>
        <v>typeint_size7_unsigned</v>
      </c>
      <c r="X3" s="53" t="str">
        <f t="shared" si="0"/>
        <v/>
      </c>
      <c r="Y3" s="53">
        <f t="shared" ref="Y3:Y10" si="3">IF(X3="",0,IF(ISERROR(X3),1,IF(X3&lt;&gt;W3,1,0)))</f>
        <v>0</v>
      </c>
      <c r="Z3" s="7">
        <f>IF($B3="",0,INDEX(Tables!$B:$B,MATCH($B3,Tables!$F:$F,0)))</f>
        <v>3</v>
      </c>
      <c r="AA3" s="7" t="str">
        <f>IF($T3="","",INDEX(Tables!$B:$B,MATCH($T3,Tables!$F:$F,0)))</f>
        <v/>
      </c>
      <c r="AB3" s="7">
        <f t="shared" ref="AB3:AB64" si="4">IF($AA3="",0,IF(ISERROR($AA3),1,IF($Z3&lt;=$AA3,1,0)))</f>
        <v>0</v>
      </c>
      <c r="AC3" s="7">
        <f t="shared" ref="AC3:AC64" si="5">IF(L3="",0,IF(AND(OR(G3="int",G3="varchar",G3="datetime"),H3&lt;&gt;""),0,1))</f>
        <v>0</v>
      </c>
      <c r="AD3" s="54">
        <f t="shared" ref="AD3:AD64" si="6">Y3+AB3+AC3</f>
        <v>0</v>
      </c>
      <c r="AE3" s="2" t="s">
        <v>107</v>
      </c>
      <c r="AF3" t="s">
        <v>416</v>
      </c>
    </row>
    <row r="4" spans="1:34" x14ac:dyDescent="0.25">
      <c r="A4" s="5">
        <f>IF(B4="","",MAX($A$1:$A3)+1)</f>
        <v>3</v>
      </c>
      <c r="B4" s="8" t="s">
        <v>221</v>
      </c>
      <c r="C4" s="7">
        <f>IF(B4="","",MATCH(B4,Tables!F:F,0))</f>
        <v>4</v>
      </c>
      <c r="D4" s="3" t="str" cm="1">
        <f t="array" ref="D4">IF(C4="","",IF(ISERROR(C4),"",INDEX(Tables!E:E,C4)))</f>
        <v>estdt</v>
      </c>
      <c r="E4" t="s">
        <v>48</v>
      </c>
      <c r="F4" s="1" t="str">
        <f t="shared" si="1"/>
        <v>estdtParticName</v>
      </c>
      <c r="G4" t="s">
        <v>298</v>
      </c>
      <c r="H4">
        <v>60</v>
      </c>
      <c r="I4"/>
      <c r="K4" s="2" t="s">
        <v>46</v>
      </c>
      <c r="L4" s="2" t="s">
        <v>46</v>
      </c>
      <c r="S4" t="s">
        <v>78</v>
      </c>
      <c r="V4" s="1" t="str">
        <f t="shared" ref="V4:V65" si="7">IF(OR(T4="",U4=""),"",_xlfn.CONCAT("FK_",F4,"_",U4))</f>
        <v/>
      </c>
      <c r="W4" s="53" t="str">
        <f t="shared" si="2"/>
        <v>typeVARCHAR_size60</v>
      </c>
      <c r="X4" s="53" t="str">
        <f t="shared" si="0"/>
        <v/>
      </c>
      <c r="Y4" s="53">
        <f t="shared" si="3"/>
        <v>0</v>
      </c>
      <c r="Z4" s="7">
        <f>IF($B4="",0,INDEX(Tables!$B:$B,MATCH($B4,Tables!$F:$F,0)))</f>
        <v>3</v>
      </c>
      <c r="AA4" s="7" t="str">
        <f>IF($T4="","",INDEX(Tables!$B:$B,MATCH($T4,Tables!$F:$F,0)))</f>
        <v/>
      </c>
      <c r="AB4" s="7">
        <f t="shared" si="4"/>
        <v>0</v>
      </c>
      <c r="AC4" s="7">
        <f t="shared" si="5"/>
        <v>0</v>
      </c>
      <c r="AD4" s="54">
        <f t="shared" si="6"/>
        <v>0</v>
      </c>
      <c r="AE4" s="2" t="s">
        <v>108</v>
      </c>
      <c r="AF4" t="s">
        <v>417</v>
      </c>
      <c r="AH4" s="2" t="s">
        <v>559</v>
      </c>
    </row>
    <row r="5" spans="1:34" x14ac:dyDescent="0.25">
      <c r="A5" s="5">
        <f>IF(B5="","",MAX($A$1:$A4)+1)</f>
        <v>4</v>
      </c>
      <c r="B5" s="8" t="s">
        <v>221</v>
      </c>
      <c r="C5" s="7">
        <f>IF(B5="","",MATCH(B5,Tables!F:F,0))</f>
        <v>4</v>
      </c>
      <c r="D5" s="3" t="str" cm="1">
        <f t="array" ref="D5">IF(C5="","",IF(ISERROR(C5),"",INDEX(Tables!E:E,C5)))</f>
        <v>estdt</v>
      </c>
      <c r="E5" t="s">
        <v>49</v>
      </c>
      <c r="F5" s="1" t="str">
        <f t="shared" si="1"/>
        <v>estdtParticSex</v>
      </c>
      <c r="G5" t="s">
        <v>248</v>
      </c>
      <c r="H5" s="17">
        <v>1</v>
      </c>
      <c r="K5" s="2" t="s">
        <v>46</v>
      </c>
      <c r="S5" t="s">
        <v>79</v>
      </c>
      <c r="V5" s="1" t="str">
        <f t="shared" si="7"/>
        <v/>
      </c>
      <c r="W5" s="53" t="str">
        <f t="shared" si="2"/>
        <v>typevarchar_size1</v>
      </c>
      <c r="X5" s="53" t="str">
        <f t="shared" si="0"/>
        <v/>
      </c>
      <c r="Y5" s="53">
        <f t="shared" si="3"/>
        <v>0</v>
      </c>
      <c r="Z5" s="7">
        <f>IF($B5="",0,INDEX(Tables!$B:$B,MATCH($B5,Tables!$F:$F,0)))</f>
        <v>3</v>
      </c>
      <c r="AA5" s="7" t="str">
        <f>IF($T5="","",INDEX(Tables!$B:$B,MATCH($T5,Tables!$F:$F,0)))</f>
        <v/>
      </c>
      <c r="AB5" s="7">
        <f t="shared" si="4"/>
        <v>0</v>
      </c>
      <c r="AC5" s="7">
        <f t="shared" si="5"/>
        <v>0</v>
      </c>
      <c r="AD5" s="54">
        <f t="shared" si="6"/>
        <v>0</v>
      </c>
      <c r="AE5" s="2" t="s">
        <v>108</v>
      </c>
      <c r="AF5" t="s">
        <v>418</v>
      </c>
      <c r="AH5" s="2" t="s">
        <v>560</v>
      </c>
    </row>
    <row r="6" spans="1:34" hidden="1" x14ac:dyDescent="0.25">
      <c r="A6" s="5">
        <f>IF(B6="","",MAX($A$1:$A5)+1)</f>
        <v>5</v>
      </c>
      <c r="B6" s="8" t="s">
        <v>221</v>
      </c>
      <c r="C6" s="7">
        <f>IF(B6="","",MATCH(B6,Tables!F:F,0))</f>
        <v>4</v>
      </c>
      <c r="D6" s="3" t="str" cm="1">
        <f t="array" ref="D6">IF(C6="","",IF(ISERROR(C6),"",INDEX(Tables!E:E,C6)))</f>
        <v>estdt</v>
      </c>
      <c r="E6" t="s">
        <v>50</v>
      </c>
      <c r="F6" s="1" t="str">
        <f t="shared" si="1"/>
        <v>estdtParticBirthDay</v>
      </c>
      <c r="G6" t="s">
        <v>80</v>
      </c>
      <c r="H6"/>
      <c r="I6"/>
      <c r="R6" s="2" t="s">
        <v>118</v>
      </c>
      <c r="S6" t="s">
        <v>81</v>
      </c>
      <c r="V6" s="1" t="str">
        <f t="shared" si="7"/>
        <v/>
      </c>
      <c r="W6" s="53" t="str">
        <f t="shared" si="2"/>
        <v>typeDate_size</v>
      </c>
      <c r="X6" s="53" t="str">
        <f t="shared" si="0"/>
        <v/>
      </c>
      <c r="Y6" s="53">
        <f t="shared" si="3"/>
        <v>0</v>
      </c>
      <c r="Z6" s="7">
        <f>IF($B6="",0,INDEX(Tables!$B:$B,MATCH($B6,Tables!$F:$F,0)))</f>
        <v>3</v>
      </c>
      <c r="AA6" s="7" t="str">
        <f>IF($T6="","",INDEX(Tables!$B:$B,MATCH($T6,Tables!$F:$F,0)))</f>
        <v/>
      </c>
      <c r="AB6" s="7">
        <f t="shared" si="4"/>
        <v>0</v>
      </c>
      <c r="AC6" s="7">
        <f t="shared" si="5"/>
        <v>0</v>
      </c>
      <c r="AD6" s="54">
        <f t="shared" si="6"/>
        <v>0</v>
      </c>
      <c r="AE6" s="2" t="s">
        <v>109</v>
      </c>
      <c r="AF6" t="s">
        <v>422</v>
      </c>
    </row>
    <row r="7" spans="1:34" hidden="1" x14ac:dyDescent="0.25">
      <c r="A7" s="5">
        <f>IF(B7="","",MAX($A$1:$A6)+1)</f>
        <v>6</v>
      </c>
      <c r="B7" s="8" t="s">
        <v>221</v>
      </c>
      <c r="C7" s="7">
        <f>IF(B7="","",MATCH(B7,Tables!F:F,0))</f>
        <v>4</v>
      </c>
      <c r="D7" s="3" t="str" cm="1">
        <f t="array" ref="D7">IF(C7="","",IF(ISERROR(C7),"",INDEX(Tables!E:E,C7)))</f>
        <v>estdt</v>
      </c>
      <c r="E7" t="s">
        <v>51</v>
      </c>
      <c r="F7" s="1" t="str">
        <f t="shared" si="1"/>
        <v>estdtParticMail</v>
      </c>
      <c r="G7" t="s">
        <v>298</v>
      </c>
      <c r="H7">
        <v>100</v>
      </c>
      <c r="I7"/>
      <c r="K7" s="2" t="s">
        <v>46</v>
      </c>
      <c r="L7" s="2" t="s">
        <v>46</v>
      </c>
      <c r="S7" t="s">
        <v>82</v>
      </c>
      <c r="V7" s="1" t="str">
        <f t="shared" si="7"/>
        <v/>
      </c>
      <c r="W7" s="53" t="str">
        <f t="shared" si="2"/>
        <v>typeVARCHAR_size100</v>
      </c>
      <c r="X7" s="53" t="str">
        <f t="shared" si="0"/>
        <v/>
      </c>
      <c r="Y7" s="53">
        <f t="shared" si="3"/>
        <v>0</v>
      </c>
      <c r="Z7" s="7">
        <f>IF($B7="",0,INDEX(Tables!$B:$B,MATCH($B7,Tables!$F:$F,0)))</f>
        <v>3</v>
      </c>
      <c r="AA7" s="7" t="str">
        <f>IF($T7="","",INDEX(Tables!$B:$B,MATCH($T7,Tables!$F:$F,0)))</f>
        <v/>
      </c>
      <c r="AB7" s="7">
        <f t="shared" si="4"/>
        <v>0</v>
      </c>
      <c r="AC7" s="7">
        <f t="shared" si="5"/>
        <v>0</v>
      </c>
      <c r="AD7" s="54">
        <f t="shared" si="6"/>
        <v>0</v>
      </c>
      <c r="AE7" s="2" t="s">
        <v>108</v>
      </c>
      <c r="AF7" t="s">
        <v>419</v>
      </c>
    </row>
    <row r="8" spans="1:34" hidden="1" x14ac:dyDescent="0.25">
      <c r="A8" s="5">
        <f>IF(B8="","",MAX($A$1:$A7)+1)</f>
        <v>7</v>
      </c>
      <c r="B8" s="8" t="s">
        <v>221</v>
      </c>
      <c r="C8" s="7">
        <f>IF(B8="","",MATCH(B8,Tables!F:F,0))</f>
        <v>4</v>
      </c>
      <c r="D8" s="3" t="str" cm="1">
        <f t="array" ref="D8">IF(C8="","",IF(ISERROR(C8),"",INDEX(Tables!E:E,C8)))</f>
        <v>estdt</v>
      </c>
      <c r="E8" t="s">
        <v>52</v>
      </c>
      <c r="F8" s="1" t="str">
        <f t="shared" si="1"/>
        <v>estdtParticPhone</v>
      </c>
      <c r="G8" t="s">
        <v>243</v>
      </c>
      <c r="H8" s="17">
        <v>10</v>
      </c>
      <c r="K8" s="2" t="s">
        <v>46</v>
      </c>
      <c r="N8" s="2" t="s">
        <v>46</v>
      </c>
      <c r="S8" t="s">
        <v>83</v>
      </c>
      <c r="V8" s="1" t="str">
        <f t="shared" si="7"/>
        <v/>
      </c>
      <c r="W8" s="53" t="str">
        <f t="shared" si="2"/>
        <v>typeint_size10_unsigned</v>
      </c>
      <c r="X8" s="53" t="str">
        <f t="shared" si="0"/>
        <v/>
      </c>
      <c r="Y8" s="53">
        <f t="shared" si="3"/>
        <v>0</v>
      </c>
      <c r="Z8" s="7">
        <f>IF($B8="",0,INDEX(Tables!$B:$B,MATCH($B8,Tables!$F:$F,0)))</f>
        <v>3</v>
      </c>
      <c r="AA8" s="7" t="str">
        <f>IF($T8="","",INDEX(Tables!$B:$B,MATCH($T8,Tables!$F:$F,0)))</f>
        <v/>
      </c>
      <c r="AB8" s="7">
        <f t="shared" si="4"/>
        <v>0</v>
      </c>
      <c r="AC8" s="7">
        <f t="shared" si="5"/>
        <v>0</v>
      </c>
      <c r="AD8" s="54">
        <f t="shared" si="6"/>
        <v>0</v>
      </c>
      <c r="AE8" s="2" t="s">
        <v>107</v>
      </c>
      <c r="AF8" t="s">
        <v>423</v>
      </c>
    </row>
    <row r="9" spans="1:34" hidden="1" x14ac:dyDescent="0.25">
      <c r="A9" s="5">
        <f>IF(B9="","",MAX($A$1:$A8)+1)</f>
        <v>8</v>
      </c>
      <c r="B9" s="8" t="s">
        <v>221</v>
      </c>
      <c r="C9" s="7">
        <f>IF(B9="","",MATCH(B9,Tables!F:F,0))</f>
        <v>4</v>
      </c>
      <c r="D9" s="3" t="str" cm="1">
        <f t="array" ref="D9">IF(C9="","",IF(ISERROR(C9),"",INDEX(Tables!E:E,C9)))</f>
        <v>estdt</v>
      </c>
      <c r="E9" t="s">
        <v>53</v>
      </c>
      <c r="F9" s="1" t="str">
        <f t="shared" si="1"/>
        <v>estdtParticPass</v>
      </c>
      <c r="G9" t="s">
        <v>248</v>
      </c>
      <c r="H9" s="17">
        <v>45</v>
      </c>
      <c r="K9" s="2" t="s">
        <v>46</v>
      </c>
      <c r="S9" t="s">
        <v>84</v>
      </c>
      <c r="V9" s="1" t="str">
        <f t="shared" si="7"/>
        <v/>
      </c>
      <c r="W9" s="53" t="str">
        <f t="shared" si="2"/>
        <v>typevarchar_size45</v>
      </c>
      <c r="X9" s="53" t="str">
        <f t="shared" si="0"/>
        <v/>
      </c>
      <c r="Y9" s="53">
        <f t="shared" si="3"/>
        <v>0</v>
      </c>
      <c r="Z9" s="7">
        <f>IF($B9="",0,INDEX(Tables!$B:$B,MATCH($B9,Tables!$F:$F,0)))</f>
        <v>3</v>
      </c>
      <c r="AA9" s="7" t="str">
        <f>IF($T9="","",INDEX(Tables!$B:$B,MATCH($T9,Tables!$F:$F,0)))</f>
        <v/>
      </c>
      <c r="AB9" s="7">
        <f t="shared" si="4"/>
        <v>0</v>
      </c>
      <c r="AC9" s="7">
        <f t="shared" si="5"/>
        <v>0</v>
      </c>
      <c r="AD9" s="54">
        <f t="shared" si="6"/>
        <v>0</v>
      </c>
      <c r="AE9" s="2" t="s">
        <v>108</v>
      </c>
      <c r="AF9" t="s">
        <v>424</v>
      </c>
    </row>
    <row r="10" spans="1:34" x14ac:dyDescent="0.25">
      <c r="A10" s="5">
        <f>IF(B10="","",MAX($A$1:$A9)+1)</f>
        <v>9</v>
      </c>
      <c r="B10" s="8" t="s">
        <v>221</v>
      </c>
      <c r="C10" s="7">
        <f>IF(B10="","",MATCH(B10,Tables!F:F,0))</f>
        <v>4</v>
      </c>
      <c r="D10" s="3" t="str" cm="1">
        <f t="array" ref="D10">IF(C10="","",IF(ISERROR(C10),"",INDEX(Tables!E:E,C10)))</f>
        <v>estdt</v>
      </c>
      <c r="E10" t="s">
        <v>54</v>
      </c>
      <c r="F10" s="1" t="str">
        <f t="shared" si="1"/>
        <v>estdtParticCPF</v>
      </c>
      <c r="G10" t="s">
        <v>243</v>
      </c>
      <c r="H10" s="17">
        <v>11</v>
      </c>
      <c r="K10" s="2" t="s">
        <v>46</v>
      </c>
      <c r="L10" s="2" t="s">
        <v>46</v>
      </c>
      <c r="N10" s="2" t="s">
        <v>46</v>
      </c>
      <c r="O10" s="2" t="s">
        <v>46</v>
      </c>
      <c r="S10" t="s">
        <v>85</v>
      </c>
      <c r="V10" s="1" t="str">
        <f t="shared" si="7"/>
        <v/>
      </c>
      <c r="W10" s="53" t="str">
        <f t="shared" si="2"/>
        <v>typeint_size11_unsigned_zeroFill</v>
      </c>
      <c r="X10" s="53" t="str">
        <f t="shared" si="0"/>
        <v/>
      </c>
      <c r="Y10" s="53">
        <f t="shared" si="3"/>
        <v>0</v>
      </c>
      <c r="Z10" s="7">
        <f>IF($B10="",0,INDEX(Tables!$B:$B,MATCH($B10,Tables!$F:$F,0)))</f>
        <v>3</v>
      </c>
      <c r="AA10" s="7" t="str">
        <f>IF($T10="","",INDEX(Tables!$B:$B,MATCH($T10,Tables!$F:$F,0)))</f>
        <v/>
      </c>
      <c r="AB10" s="7">
        <f t="shared" si="4"/>
        <v>0</v>
      </c>
      <c r="AC10" s="7">
        <f t="shared" si="5"/>
        <v>0</v>
      </c>
      <c r="AD10" s="54">
        <f t="shared" si="6"/>
        <v>0</v>
      </c>
      <c r="AE10" s="2" t="s">
        <v>107</v>
      </c>
      <c r="AF10" t="s">
        <v>420</v>
      </c>
      <c r="AH10" s="2" t="s">
        <v>559</v>
      </c>
    </row>
    <row r="11" spans="1:34" x14ac:dyDescent="0.25">
      <c r="A11" s="5">
        <f>IF(B11="","",MAX($A$1:$A10)+1)</f>
        <v>10</v>
      </c>
      <c r="B11" s="8" t="s">
        <v>221</v>
      </c>
      <c r="C11" s="7">
        <f>IF(B11="","",MATCH(B11,Tables!F:F,0))</f>
        <v>4</v>
      </c>
      <c r="D11" s="3" t="str" cm="1">
        <f t="array" ref="D11">IF(C11="","",IF(ISERROR(C11),"",INDEX(Tables!E:E,C11)))</f>
        <v>estdt</v>
      </c>
      <c r="E11" t="s">
        <v>55</v>
      </c>
      <c r="F11" s="1" t="str">
        <f t="shared" si="1"/>
        <v>estdtParticRG</v>
      </c>
      <c r="G11" t="s">
        <v>248</v>
      </c>
      <c r="H11" s="17">
        <v>13</v>
      </c>
      <c r="K11" s="2" t="s">
        <v>46</v>
      </c>
      <c r="L11" s="2" t="s">
        <v>46</v>
      </c>
      <c r="S11" t="s">
        <v>86</v>
      </c>
      <c r="V11" s="1" t="str">
        <f t="shared" si="7"/>
        <v/>
      </c>
      <c r="W11" s="53" t="str">
        <f t="shared" ref="W11:W72" si="8">_xlfn.CONCAT("type",G11,"_size",H11,IF(M11="","","_binary"),IF(N11="","","_unsigned"),IF(O11="","","_zeroFill"))</f>
        <v>typevarchar_size13</v>
      </c>
      <c r="X11" s="53" t="str">
        <f t="shared" si="0"/>
        <v/>
      </c>
      <c r="Y11" s="53">
        <f t="shared" ref="Y11:Y72" si="9">IF(X11="",0,IF(ISERROR(X11),1,IF(X11&lt;&gt;W11,1,0)))</f>
        <v>0</v>
      </c>
      <c r="Z11" s="7">
        <f>IF($B11="",0,INDEX(Tables!$B:$B,MATCH($B11,Tables!$F:$F,0)))</f>
        <v>3</v>
      </c>
      <c r="AA11" s="7" t="str">
        <f>IF($T11="","",INDEX(Tables!$B:$B,MATCH($T11,Tables!$F:$F,0)))</f>
        <v/>
      </c>
      <c r="AB11" s="7">
        <f t="shared" si="4"/>
        <v>0</v>
      </c>
      <c r="AC11" s="7">
        <f t="shared" si="5"/>
        <v>0</v>
      </c>
      <c r="AD11" s="54">
        <f t="shared" si="6"/>
        <v>0</v>
      </c>
      <c r="AE11" s="2" t="s">
        <v>108</v>
      </c>
      <c r="AF11" t="s">
        <v>415</v>
      </c>
      <c r="AH11" s="2" t="s">
        <v>559</v>
      </c>
    </row>
    <row r="12" spans="1:34" hidden="1" x14ac:dyDescent="0.25">
      <c r="A12" s="5">
        <f>IF(B12="","",MAX($A$1:$A11)+1)</f>
        <v>11</v>
      </c>
      <c r="B12" s="8" t="s">
        <v>221</v>
      </c>
      <c r="C12" s="7">
        <f>IF(B12="","",MATCH(B12,Tables!F:F,0))</f>
        <v>4</v>
      </c>
      <c r="D12" s="3" t="str" cm="1">
        <f t="array" ref="D12">IF(C12="","",IF(ISERROR(C12),"",INDEX(Tables!E:E,C12)))</f>
        <v>estdt</v>
      </c>
      <c r="E12" t="s">
        <v>56</v>
      </c>
      <c r="F12" s="1" t="str">
        <f t="shared" si="1"/>
        <v>estdtCourseInstitute</v>
      </c>
      <c r="G12" t="s">
        <v>248</v>
      </c>
      <c r="H12" s="17">
        <v>40</v>
      </c>
      <c r="I12"/>
      <c r="K12" s="2" t="s">
        <v>46</v>
      </c>
      <c r="S12" t="s">
        <v>87</v>
      </c>
      <c r="V12" s="1" t="str">
        <f t="shared" si="7"/>
        <v/>
      </c>
      <c r="W12" s="53" t="str">
        <f t="shared" si="8"/>
        <v>typevarchar_size40</v>
      </c>
      <c r="X12" s="53" t="str">
        <f t="shared" si="0"/>
        <v/>
      </c>
      <c r="Y12" s="53">
        <f t="shared" si="9"/>
        <v>0</v>
      </c>
      <c r="Z12" s="7">
        <f>IF($B12="",0,INDEX(Tables!$B:$B,MATCH($B12,Tables!$F:$F,0)))</f>
        <v>3</v>
      </c>
      <c r="AA12" s="7" t="str">
        <f>IF($T12="","",INDEX(Tables!$B:$B,MATCH($T12,Tables!$F:$F,0)))</f>
        <v/>
      </c>
      <c r="AB12" s="7">
        <f t="shared" si="4"/>
        <v>0</v>
      </c>
      <c r="AC12" s="7">
        <f t="shared" si="5"/>
        <v>0</v>
      </c>
      <c r="AD12" s="54">
        <f t="shared" si="6"/>
        <v>0</v>
      </c>
      <c r="AE12" s="2" t="s">
        <v>108</v>
      </c>
      <c r="AF12" t="s">
        <v>425</v>
      </c>
    </row>
    <row r="13" spans="1:34" hidden="1" x14ac:dyDescent="0.25">
      <c r="A13" s="5">
        <f>IF(B13="","",MAX($A$1:$A12)+1)</f>
        <v>12</v>
      </c>
      <c r="B13" s="8" t="s">
        <v>221</v>
      </c>
      <c r="C13" s="7">
        <f>IF(B13="","",MATCH(B13,Tables!F:F,0))</f>
        <v>4</v>
      </c>
      <c r="D13" s="3" t="str" cm="1">
        <f t="array" ref="D13">IF(C13="","",IF(ISERROR(C13),"",INDEX(Tables!E:E,C13)))</f>
        <v>estdt</v>
      </c>
      <c r="E13" t="s">
        <v>1</v>
      </c>
      <c r="F13" s="1" t="str">
        <f t="shared" si="1"/>
        <v>estdtCourseName</v>
      </c>
      <c r="G13" t="s">
        <v>248</v>
      </c>
      <c r="H13" s="17">
        <v>40</v>
      </c>
      <c r="I13"/>
      <c r="K13" s="2" t="s">
        <v>46</v>
      </c>
      <c r="S13" t="s">
        <v>88</v>
      </c>
      <c r="V13" s="1" t="str">
        <f t="shared" si="7"/>
        <v/>
      </c>
      <c r="W13" s="53" t="str">
        <f t="shared" si="8"/>
        <v>typevarchar_size40</v>
      </c>
      <c r="X13" s="53" t="str">
        <f t="shared" si="0"/>
        <v/>
      </c>
      <c r="Y13" s="53">
        <f t="shared" si="9"/>
        <v>0</v>
      </c>
      <c r="Z13" s="7">
        <f>IF($B13="",0,INDEX(Tables!$B:$B,MATCH($B13,Tables!$F:$F,0)))</f>
        <v>3</v>
      </c>
      <c r="AA13" s="7" t="str">
        <f>IF($T13="","",INDEX(Tables!$B:$B,MATCH($T13,Tables!$F:$F,0)))</f>
        <v/>
      </c>
      <c r="AB13" s="7">
        <f t="shared" si="4"/>
        <v>0</v>
      </c>
      <c r="AC13" s="7">
        <f t="shared" si="5"/>
        <v>0</v>
      </c>
      <c r="AD13" s="54">
        <f t="shared" si="6"/>
        <v>0</v>
      </c>
      <c r="AE13" s="2" t="s">
        <v>108</v>
      </c>
      <c r="AF13" t="s">
        <v>426</v>
      </c>
    </row>
    <row r="14" spans="1:34" hidden="1" x14ac:dyDescent="0.25">
      <c r="A14" s="5">
        <f>IF(B14="","",MAX($A$1:$A13)+1)</f>
        <v>13</v>
      </c>
      <c r="B14" s="8" t="s">
        <v>221</v>
      </c>
      <c r="C14" s="7">
        <f>IF(B14="","",MATCH(B14,Tables!F:F,0))</f>
        <v>4</v>
      </c>
      <c r="D14" s="3" t="str" cm="1">
        <f t="array" ref="D14">IF(C14="","",IF(ISERROR(C14),"",INDEX(Tables!E:E,C14)))</f>
        <v>estdt</v>
      </c>
      <c r="E14" t="s">
        <v>57</v>
      </c>
      <c r="F14" s="1" t="str">
        <f t="shared" si="1"/>
        <v>estdtCourseFormation</v>
      </c>
      <c r="G14" t="s">
        <v>243</v>
      </c>
      <c r="H14" s="17">
        <v>1</v>
      </c>
      <c r="K14" s="2" t="s">
        <v>46</v>
      </c>
      <c r="N14" s="2" t="s">
        <v>46</v>
      </c>
      <c r="S14" t="s">
        <v>89</v>
      </c>
      <c r="V14" s="1" t="str">
        <f t="shared" si="7"/>
        <v/>
      </c>
      <c r="W14" s="53" t="str">
        <f t="shared" si="8"/>
        <v>typeint_size1_unsigned</v>
      </c>
      <c r="X14" s="53" t="str">
        <f t="shared" si="0"/>
        <v/>
      </c>
      <c r="Y14" s="53">
        <f t="shared" si="9"/>
        <v>0</v>
      </c>
      <c r="Z14" s="7">
        <f>IF($B14="",0,INDEX(Tables!$B:$B,MATCH($B14,Tables!$F:$F,0)))</f>
        <v>3</v>
      </c>
      <c r="AA14" s="7" t="str">
        <f>IF($T14="","",INDEX(Tables!$B:$B,MATCH($T14,Tables!$F:$F,0)))</f>
        <v/>
      </c>
      <c r="AB14" s="7">
        <f t="shared" si="4"/>
        <v>0</v>
      </c>
      <c r="AC14" s="7">
        <f t="shared" si="5"/>
        <v>0</v>
      </c>
      <c r="AD14" s="54">
        <f t="shared" si="6"/>
        <v>0</v>
      </c>
      <c r="AE14" s="2" t="s">
        <v>107</v>
      </c>
      <c r="AF14" t="s">
        <v>427</v>
      </c>
      <c r="AG14" s="8" t="s">
        <v>57</v>
      </c>
    </row>
    <row r="15" spans="1:34" hidden="1" x14ac:dyDescent="0.25">
      <c r="A15" s="5">
        <f>IF(B15="","",MAX($A$1:$A14)+1)</f>
        <v>14</v>
      </c>
      <c r="B15" s="8" t="s">
        <v>221</v>
      </c>
      <c r="C15" s="7">
        <f>IF(B15="","",MATCH(B15,Tables!F:F,0))</f>
        <v>4</v>
      </c>
      <c r="D15" s="3" t="str" cm="1">
        <f t="array" ref="D15">IF(C15="","",IF(ISERROR(C15),"",INDEX(Tables!E:E,C15)))</f>
        <v>estdt</v>
      </c>
      <c r="E15" t="s">
        <v>58</v>
      </c>
      <c r="F15" s="1" t="str">
        <f t="shared" si="1"/>
        <v>estdtCourseModal</v>
      </c>
      <c r="G15" t="s">
        <v>243</v>
      </c>
      <c r="H15" s="17">
        <v>1</v>
      </c>
      <c r="K15" s="2" t="s">
        <v>46</v>
      </c>
      <c r="N15" s="2" t="s">
        <v>46</v>
      </c>
      <c r="S15" t="s">
        <v>90</v>
      </c>
      <c r="V15" s="1" t="str">
        <f t="shared" si="7"/>
        <v/>
      </c>
      <c r="W15" s="53" t="str">
        <f t="shared" si="8"/>
        <v>typeint_size1_unsigned</v>
      </c>
      <c r="X15" s="53" t="str">
        <f t="shared" si="0"/>
        <v/>
      </c>
      <c r="Y15" s="53">
        <f t="shared" si="9"/>
        <v>0</v>
      </c>
      <c r="Z15" s="7">
        <f>IF($B15="",0,INDEX(Tables!$B:$B,MATCH($B15,Tables!$F:$F,0)))</f>
        <v>3</v>
      </c>
      <c r="AA15" s="7" t="str">
        <f>IF($T15="","",INDEX(Tables!$B:$B,MATCH($T15,Tables!$F:$F,0)))</f>
        <v/>
      </c>
      <c r="AB15" s="7">
        <f t="shared" si="4"/>
        <v>0</v>
      </c>
      <c r="AC15" s="7">
        <f t="shared" si="5"/>
        <v>0</v>
      </c>
      <c r="AD15" s="54">
        <f t="shared" si="6"/>
        <v>0</v>
      </c>
      <c r="AE15" s="2" t="s">
        <v>107</v>
      </c>
      <c r="AF15" t="s">
        <v>428</v>
      </c>
      <c r="AG15" s="8" t="s">
        <v>58</v>
      </c>
    </row>
    <row r="16" spans="1:34" hidden="1" x14ac:dyDescent="0.25">
      <c r="A16" s="5">
        <f>IF(B16="","",MAX($A$1:$A15)+1)</f>
        <v>15</v>
      </c>
      <c r="B16" s="8" t="s">
        <v>221</v>
      </c>
      <c r="C16" s="7">
        <f>IF(B16="","",MATCH(B16,Tables!F:F,0))</f>
        <v>4</v>
      </c>
      <c r="D16" s="3" t="str" cm="1">
        <f t="array" ref="D16">IF(C16="","",IF(ISERROR(C16),"",INDEX(Tables!E:E,C16)))</f>
        <v>estdt</v>
      </c>
      <c r="E16" t="s">
        <v>59</v>
      </c>
      <c r="F16" s="1" t="str">
        <f t="shared" si="1"/>
        <v>estdtCourseRegister</v>
      </c>
      <c r="G16" t="s">
        <v>248</v>
      </c>
      <c r="H16" s="17">
        <v>20</v>
      </c>
      <c r="R16" s="2" t="s">
        <v>118</v>
      </c>
      <c r="S16" t="s">
        <v>91</v>
      </c>
      <c r="V16" s="1" t="str">
        <f t="shared" si="7"/>
        <v/>
      </c>
      <c r="W16" s="53" t="str">
        <f t="shared" si="8"/>
        <v>typevarchar_size20</v>
      </c>
      <c r="X16" s="53" t="str">
        <f t="shared" si="0"/>
        <v/>
      </c>
      <c r="Y16" s="53">
        <f t="shared" si="9"/>
        <v>0</v>
      </c>
      <c r="Z16" s="7">
        <f>IF($B16="",0,INDEX(Tables!$B:$B,MATCH($B16,Tables!$F:$F,0)))</f>
        <v>3</v>
      </c>
      <c r="AA16" s="7" t="str">
        <f>IF($T16="","",INDEX(Tables!$B:$B,MATCH($T16,Tables!$F:$F,0)))</f>
        <v/>
      </c>
      <c r="AB16" s="7">
        <f t="shared" si="4"/>
        <v>0</v>
      </c>
      <c r="AC16" s="7">
        <f t="shared" si="5"/>
        <v>0</v>
      </c>
      <c r="AD16" s="54">
        <f t="shared" si="6"/>
        <v>0</v>
      </c>
      <c r="AE16" s="2" t="s">
        <v>108</v>
      </c>
      <c r="AF16" t="s">
        <v>429</v>
      </c>
    </row>
    <row r="17" spans="1:32" hidden="1" x14ac:dyDescent="0.25">
      <c r="A17" s="5">
        <f>IF(B17="","",MAX($A$1:$A16)+1)</f>
        <v>16</v>
      </c>
      <c r="B17" s="8" t="s">
        <v>221</v>
      </c>
      <c r="C17" s="7">
        <f>IF(B17="","",MATCH(B17,Tables!F:F,0))</f>
        <v>4</v>
      </c>
      <c r="D17" s="3" t="str" cm="1">
        <f t="array" ref="D17">IF(C17="","",IF(ISERROR(C17),"",INDEX(Tables!E:E,C17)))</f>
        <v>estdt</v>
      </c>
      <c r="E17" t="s">
        <v>60</v>
      </c>
      <c r="F17" s="1" t="str">
        <f t="shared" si="1"/>
        <v>estdtCourseAgeCurr</v>
      </c>
      <c r="G17" t="s">
        <v>77</v>
      </c>
      <c r="H17"/>
      <c r="I17"/>
      <c r="R17" s="2" t="s">
        <v>118</v>
      </c>
      <c r="S17" t="s">
        <v>92</v>
      </c>
      <c r="V17" s="1" t="str">
        <f t="shared" si="7"/>
        <v/>
      </c>
      <c r="W17" s="53" t="str">
        <f t="shared" si="8"/>
        <v>typetext_size</v>
      </c>
      <c r="X17" s="53" t="str">
        <f t="shared" si="0"/>
        <v/>
      </c>
      <c r="Y17" s="53">
        <f t="shared" si="9"/>
        <v>0</v>
      </c>
      <c r="Z17" s="7">
        <f>IF($B17="",0,INDEX(Tables!$B:$B,MATCH($B17,Tables!$F:$F,0)))</f>
        <v>3</v>
      </c>
      <c r="AA17" s="7" t="str">
        <f>IF($T17="","",INDEX(Tables!$B:$B,MATCH($T17,Tables!$F:$F,0)))</f>
        <v/>
      </c>
      <c r="AB17" s="7">
        <f t="shared" si="4"/>
        <v>0</v>
      </c>
      <c r="AC17" s="7">
        <f t="shared" si="5"/>
        <v>0</v>
      </c>
      <c r="AD17" s="54">
        <f t="shared" si="6"/>
        <v>0</v>
      </c>
      <c r="AE17" s="2" t="s">
        <v>108</v>
      </c>
      <c r="AF17" t="s">
        <v>430</v>
      </c>
    </row>
    <row r="18" spans="1:32" hidden="1" x14ac:dyDescent="0.25">
      <c r="A18" s="5">
        <f>IF(B18="","",MAX($A$1:$A17)+1)</f>
        <v>17</v>
      </c>
      <c r="B18" s="8" t="s">
        <v>221</v>
      </c>
      <c r="C18" s="7">
        <f>IF(B18="","",MATCH(B18,Tables!F:F,0))</f>
        <v>4</v>
      </c>
      <c r="D18" s="3" t="str" cm="1">
        <f t="array" ref="D18">IF(C18="","",IF(ISERROR(C18),"",INDEX(Tables!E:E,C18)))</f>
        <v>estdt</v>
      </c>
      <c r="E18" t="s">
        <v>61</v>
      </c>
      <c r="F18" s="1" t="str">
        <f t="shared" si="1"/>
        <v>estdtCourseAgeFinal</v>
      </c>
      <c r="G18" t="s">
        <v>77</v>
      </c>
      <c r="H18"/>
      <c r="I18"/>
      <c r="R18" s="2" t="s">
        <v>118</v>
      </c>
      <c r="S18" t="s">
        <v>93</v>
      </c>
      <c r="V18" s="1" t="str">
        <f t="shared" si="7"/>
        <v/>
      </c>
      <c r="W18" s="53" t="str">
        <f t="shared" si="8"/>
        <v>typetext_size</v>
      </c>
      <c r="X18" s="53" t="str">
        <f t="shared" si="0"/>
        <v/>
      </c>
      <c r="Y18" s="53">
        <f t="shared" si="9"/>
        <v>0</v>
      </c>
      <c r="Z18" s="7">
        <f>IF($B18="",0,INDEX(Tables!$B:$B,MATCH($B18,Tables!$F:$F,0)))</f>
        <v>3</v>
      </c>
      <c r="AA18" s="7" t="str">
        <f>IF($T18="","",INDEX(Tables!$B:$B,MATCH($T18,Tables!$F:$F,0)))</f>
        <v/>
      </c>
      <c r="AB18" s="7">
        <f t="shared" si="4"/>
        <v>0</v>
      </c>
      <c r="AC18" s="7">
        <f t="shared" si="5"/>
        <v>0</v>
      </c>
      <c r="AD18" s="54">
        <f t="shared" si="6"/>
        <v>0</v>
      </c>
      <c r="AE18" s="2" t="s">
        <v>108</v>
      </c>
      <c r="AF18" t="s">
        <v>431</v>
      </c>
    </row>
    <row r="19" spans="1:32" hidden="1" x14ac:dyDescent="0.25">
      <c r="A19" s="5">
        <f>IF(B19="","",MAX($A$1:$A18)+1)</f>
        <v>18</v>
      </c>
      <c r="B19" s="8" t="s">
        <v>221</v>
      </c>
      <c r="C19" s="7">
        <f>IF(B19="","",MATCH(B19,Tables!F:F,0))</f>
        <v>4</v>
      </c>
      <c r="D19" s="3" t="str" cm="1">
        <f t="array" ref="D19">IF(C19="","",IF(ISERROR(C19),"",INDEX(Tables!E:E,C19)))</f>
        <v>estdt</v>
      </c>
      <c r="E19" t="s">
        <v>62</v>
      </c>
      <c r="F19" s="1" t="str">
        <f t="shared" si="1"/>
        <v>estdtAddressZIP</v>
      </c>
      <c r="G19" t="s">
        <v>248</v>
      </c>
      <c r="H19" s="17">
        <v>8</v>
      </c>
      <c r="K19" s="2" t="s">
        <v>46</v>
      </c>
      <c r="S19" t="s">
        <v>94</v>
      </c>
      <c r="V19" s="1" t="str">
        <f t="shared" si="7"/>
        <v/>
      </c>
      <c r="W19" s="53" t="str">
        <f t="shared" si="8"/>
        <v>typevarchar_size8</v>
      </c>
      <c r="X19" s="53" t="str">
        <f t="shared" si="0"/>
        <v/>
      </c>
      <c r="Y19" s="53">
        <f t="shared" si="9"/>
        <v>0</v>
      </c>
      <c r="Z19" s="7">
        <f>IF($B19="",0,INDEX(Tables!$B:$B,MATCH($B19,Tables!$F:$F,0)))</f>
        <v>3</v>
      </c>
      <c r="AA19" s="7" t="str">
        <f>IF($T19="","",INDEX(Tables!$B:$B,MATCH($T19,Tables!$F:$F,0)))</f>
        <v/>
      </c>
      <c r="AB19" s="7">
        <f t="shared" si="4"/>
        <v>0</v>
      </c>
      <c r="AC19" s="7">
        <f t="shared" si="5"/>
        <v>0</v>
      </c>
      <c r="AD19" s="54">
        <f t="shared" si="6"/>
        <v>0</v>
      </c>
      <c r="AE19" s="2" t="s">
        <v>107</v>
      </c>
      <c r="AF19" t="s">
        <v>421</v>
      </c>
    </row>
    <row r="20" spans="1:32" hidden="1" x14ac:dyDescent="0.25">
      <c r="A20" s="5">
        <f>IF(B20="","",MAX($A$1:$A19)+1)</f>
        <v>19</v>
      </c>
      <c r="B20" s="8" t="s">
        <v>221</v>
      </c>
      <c r="C20" s="7">
        <f>IF(B20="","",MATCH(B20,Tables!F:F,0))</f>
        <v>4</v>
      </c>
      <c r="D20" s="3" t="str" cm="1">
        <f t="array" ref="D20">IF(C20="","",IF(ISERROR(C20),"",INDEX(Tables!E:E,C20)))</f>
        <v>estdt</v>
      </c>
      <c r="E20" t="s">
        <v>63</v>
      </c>
      <c r="F20" s="1" t="str">
        <f t="shared" si="1"/>
        <v>estdtAddressName</v>
      </c>
      <c r="G20" t="s">
        <v>248</v>
      </c>
      <c r="H20" s="17">
        <v>100</v>
      </c>
      <c r="K20" s="2" t="s">
        <v>46</v>
      </c>
      <c r="S20" t="s">
        <v>95</v>
      </c>
      <c r="V20" s="1" t="str">
        <f t="shared" si="7"/>
        <v/>
      </c>
      <c r="W20" s="53" t="str">
        <f t="shared" si="8"/>
        <v>typevarchar_size100</v>
      </c>
      <c r="X20" s="53" t="str">
        <f t="shared" si="0"/>
        <v/>
      </c>
      <c r="Y20" s="53">
        <f t="shared" si="9"/>
        <v>0</v>
      </c>
      <c r="Z20" s="7">
        <f>IF($B20="",0,INDEX(Tables!$B:$B,MATCH($B20,Tables!$F:$F,0)))</f>
        <v>3</v>
      </c>
      <c r="AA20" s="7" t="str">
        <f>IF($T20="","",INDEX(Tables!$B:$B,MATCH($T20,Tables!$F:$F,0)))</f>
        <v/>
      </c>
      <c r="AB20" s="7">
        <f t="shared" si="4"/>
        <v>0</v>
      </c>
      <c r="AC20" s="7">
        <f t="shared" si="5"/>
        <v>0</v>
      </c>
      <c r="AD20" s="54">
        <f t="shared" si="6"/>
        <v>0</v>
      </c>
      <c r="AE20" s="2" t="s">
        <v>108</v>
      </c>
      <c r="AF20" t="s">
        <v>432</v>
      </c>
    </row>
    <row r="21" spans="1:32" hidden="1" x14ac:dyDescent="0.25">
      <c r="A21" s="5">
        <f>IF(B21="","",MAX($A$1:$A20)+1)</f>
        <v>20</v>
      </c>
      <c r="B21" s="8" t="s">
        <v>221</v>
      </c>
      <c r="C21" s="7">
        <f>IF(B21="","",MATCH(B21,Tables!F:F,0))</f>
        <v>4</v>
      </c>
      <c r="D21" s="3" t="str" cm="1">
        <f t="array" ref="D21">IF(C21="","",IF(ISERROR(C21),"",INDEX(Tables!E:E,C21)))</f>
        <v>estdt</v>
      </c>
      <c r="E21" t="s">
        <v>64</v>
      </c>
      <c r="F21" s="1" t="str">
        <f t="shared" si="1"/>
        <v>estdtAddressNumber</v>
      </c>
      <c r="G21" t="s">
        <v>248</v>
      </c>
      <c r="H21" s="17">
        <v>6</v>
      </c>
      <c r="R21" s="2" t="s">
        <v>118</v>
      </c>
      <c r="S21" t="s">
        <v>96</v>
      </c>
      <c r="V21" s="1" t="str">
        <f t="shared" si="7"/>
        <v/>
      </c>
      <c r="W21" s="53" t="str">
        <f t="shared" si="8"/>
        <v>typevarchar_size6</v>
      </c>
      <c r="X21" s="53" t="str">
        <f t="shared" si="0"/>
        <v/>
      </c>
      <c r="Y21" s="53">
        <f t="shared" si="9"/>
        <v>0</v>
      </c>
      <c r="Z21" s="7">
        <f>IF($B21="",0,INDEX(Tables!$B:$B,MATCH($B21,Tables!$F:$F,0)))</f>
        <v>3</v>
      </c>
      <c r="AA21" s="7" t="str">
        <f>IF($T21="","",INDEX(Tables!$B:$B,MATCH($T21,Tables!$F:$F,0)))</f>
        <v/>
      </c>
      <c r="AB21" s="7">
        <f t="shared" si="4"/>
        <v>0</v>
      </c>
      <c r="AC21" s="7">
        <f t="shared" si="5"/>
        <v>0</v>
      </c>
      <c r="AD21" s="54">
        <f t="shared" si="6"/>
        <v>0</v>
      </c>
      <c r="AE21" s="2" t="s">
        <v>108</v>
      </c>
      <c r="AF21" t="s">
        <v>433</v>
      </c>
    </row>
    <row r="22" spans="1:32" hidden="1" x14ac:dyDescent="0.25">
      <c r="A22" s="5">
        <f>IF(B22="","",MAX($A$1:$A21)+1)</f>
        <v>21</v>
      </c>
      <c r="B22" s="8" t="s">
        <v>221</v>
      </c>
      <c r="C22" s="7">
        <f>IF(B22="","",MATCH(B22,Tables!F:F,0))</f>
        <v>4</v>
      </c>
      <c r="D22" s="3" t="str" cm="1">
        <f t="array" ref="D22">IF(C22="","",IF(ISERROR(C22),"",INDEX(Tables!E:E,C22)))</f>
        <v>estdt</v>
      </c>
      <c r="E22" t="s">
        <v>65</v>
      </c>
      <c r="F22" s="1" t="str">
        <f t="shared" si="1"/>
        <v>estdtAddressCompl</v>
      </c>
      <c r="G22" t="s">
        <v>248</v>
      </c>
      <c r="H22" s="17">
        <v>60</v>
      </c>
      <c r="R22" s="2" t="s">
        <v>118</v>
      </c>
      <c r="S22" t="s">
        <v>97</v>
      </c>
      <c r="V22" s="1" t="str">
        <f t="shared" si="7"/>
        <v/>
      </c>
      <c r="W22" s="53" t="str">
        <f t="shared" si="8"/>
        <v>typevarchar_size60</v>
      </c>
      <c r="X22" s="53" t="str">
        <f t="shared" si="0"/>
        <v/>
      </c>
      <c r="Y22" s="53">
        <f t="shared" si="9"/>
        <v>0</v>
      </c>
      <c r="Z22" s="7">
        <f>IF($B22="",0,INDEX(Tables!$B:$B,MATCH($B22,Tables!$F:$F,0)))</f>
        <v>3</v>
      </c>
      <c r="AA22" s="7" t="str">
        <f>IF($T22="","",INDEX(Tables!$B:$B,MATCH($T22,Tables!$F:$F,0)))</f>
        <v/>
      </c>
      <c r="AB22" s="7">
        <f t="shared" si="4"/>
        <v>0</v>
      </c>
      <c r="AC22" s="7">
        <f t="shared" si="5"/>
        <v>0</v>
      </c>
      <c r="AD22" s="54">
        <f t="shared" si="6"/>
        <v>0</v>
      </c>
      <c r="AE22" s="2" t="s">
        <v>108</v>
      </c>
      <c r="AF22" t="s">
        <v>434</v>
      </c>
    </row>
    <row r="23" spans="1:32" hidden="1" x14ac:dyDescent="0.25">
      <c r="A23" s="5">
        <f>IF(B23="","",MAX($A$1:$A22)+1)</f>
        <v>22</v>
      </c>
      <c r="B23" s="8" t="s">
        <v>221</v>
      </c>
      <c r="C23" s="7">
        <f>IF(B23="","",MATCH(B23,Tables!F:F,0))</f>
        <v>4</v>
      </c>
      <c r="D23" s="3" t="str" cm="1">
        <f t="array" ref="D23">IF(C23="","",IF(ISERROR(C23),"",INDEX(Tables!E:E,C23)))</f>
        <v>estdt</v>
      </c>
      <c r="E23" t="s">
        <v>66</v>
      </c>
      <c r="F23" s="1" t="str">
        <f t="shared" si="1"/>
        <v>estdtAddressCity</v>
      </c>
      <c r="G23" t="s">
        <v>248</v>
      </c>
      <c r="H23" s="17">
        <v>45</v>
      </c>
      <c r="R23" s="2" t="s">
        <v>118</v>
      </c>
      <c r="S23" t="s">
        <v>98</v>
      </c>
      <c r="V23" s="1" t="str">
        <f t="shared" si="7"/>
        <v/>
      </c>
      <c r="W23" s="53" t="str">
        <f t="shared" si="8"/>
        <v>typevarchar_size45</v>
      </c>
      <c r="X23" s="53" t="str">
        <f t="shared" si="0"/>
        <v/>
      </c>
      <c r="Y23" s="53">
        <f t="shared" si="9"/>
        <v>0</v>
      </c>
      <c r="Z23" s="7">
        <f>IF($B23="",0,INDEX(Tables!$B:$B,MATCH($B23,Tables!$F:$F,0)))</f>
        <v>3</v>
      </c>
      <c r="AA23" s="7" t="str">
        <f>IF($T23="","",INDEX(Tables!$B:$B,MATCH($T23,Tables!$F:$F,0)))</f>
        <v/>
      </c>
      <c r="AB23" s="7">
        <f t="shared" si="4"/>
        <v>0</v>
      </c>
      <c r="AC23" s="7">
        <f t="shared" si="5"/>
        <v>0</v>
      </c>
      <c r="AD23" s="54">
        <f t="shared" si="6"/>
        <v>0</v>
      </c>
      <c r="AE23" s="2" t="s">
        <v>108</v>
      </c>
      <c r="AF23" t="s">
        <v>435</v>
      </c>
    </row>
    <row r="24" spans="1:32" hidden="1" x14ac:dyDescent="0.25">
      <c r="A24" s="5">
        <f>IF(B24="","",MAX($A$1:$A23)+1)</f>
        <v>23</v>
      </c>
      <c r="B24" s="8" t="s">
        <v>221</v>
      </c>
      <c r="C24" s="7">
        <f>IF(B24="","",MATCH(B24,Tables!F:F,0))</f>
        <v>4</v>
      </c>
      <c r="D24" s="3" t="str" cm="1">
        <f t="array" ref="D24">IF(C24="","",IF(ISERROR(C24),"",INDEX(Tables!E:E,C24)))</f>
        <v>estdt</v>
      </c>
      <c r="E24" t="s">
        <v>67</v>
      </c>
      <c r="F24" s="1" t="str">
        <f t="shared" si="1"/>
        <v>estdtAddressUF</v>
      </c>
      <c r="G24" t="s">
        <v>248</v>
      </c>
      <c r="H24" s="17">
        <v>2</v>
      </c>
      <c r="R24" s="2" t="s">
        <v>118</v>
      </c>
      <c r="S24" t="s">
        <v>99</v>
      </c>
      <c r="V24" s="1" t="str">
        <f t="shared" si="7"/>
        <v/>
      </c>
      <c r="W24" s="53" t="str">
        <f t="shared" si="8"/>
        <v>typevarchar_size2</v>
      </c>
      <c r="X24" s="53" t="str">
        <f t="shared" si="0"/>
        <v/>
      </c>
      <c r="Y24" s="53">
        <f t="shared" si="9"/>
        <v>0</v>
      </c>
      <c r="Z24" s="7">
        <f>IF($B24="",0,INDEX(Tables!$B:$B,MATCH($B24,Tables!$F:$F,0)))</f>
        <v>3</v>
      </c>
      <c r="AA24" s="7" t="str">
        <f>IF($T24="","",INDEX(Tables!$B:$B,MATCH($T24,Tables!$F:$F,0)))</f>
        <v/>
      </c>
      <c r="AB24" s="7">
        <f t="shared" si="4"/>
        <v>0</v>
      </c>
      <c r="AC24" s="7">
        <f t="shared" si="5"/>
        <v>0</v>
      </c>
      <c r="AD24" s="54">
        <f t="shared" si="6"/>
        <v>0</v>
      </c>
      <c r="AE24" s="2" t="s">
        <v>108</v>
      </c>
      <c r="AF24" t="s">
        <v>436</v>
      </c>
    </row>
    <row r="25" spans="1:32" hidden="1" x14ac:dyDescent="0.25">
      <c r="A25" s="5">
        <f>IF(B25="","",MAX($A$1:$A24)+1)</f>
        <v>24</v>
      </c>
      <c r="B25" s="8" t="s">
        <v>221</v>
      </c>
      <c r="C25" s="7">
        <f>IF(B25="","",MATCH(B25,Tables!F:F,0))</f>
        <v>4</v>
      </c>
      <c r="D25" s="3" t="str" cm="1">
        <f t="array" ref="D25">IF(C25="","",IF(ISERROR(C25),"",INDEX(Tables!E:E,C25)))</f>
        <v>estdt</v>
      </c>
      <c r="E25" t="s">
        <v>68</v>
      </c>
      <c r="F25" s="1" t="str">
        <f t="shared" si="1"/>
        <v>estdtAddressNeibor</v>
      </c>
      <c r="G25" t="s">
        <v>248</v>
      </c>
      <c r="H25" s="17">
        <v>45</v>
      </c>
      <c r="R25" s="2" t="s">
        <v>118</v>
      </c>
      <c r="S25" t="s">
        <v>100</v>
      </c>
      <c r="V25" s="1" t="str">
        <f t="shared" si="7"/>
        <v/>
      </c>
      <c r="W25" s="53" t="str">
        <f t="shared" si="8"/>
        <v>typevarchar_size45</v>
      </c>
      <c r="X25" s="53" t="str">
        <f t="shared" si="0"/>
        <v/>
      </c>
      <c r="Y25" s="53">
        <f t="shared" si="9"/>
        <v>0</v>
      </c>
      <c r="Z25" s="7">
        <f>IF($B25="",0,INDEX(Tables!$B:$B,MATCH($B25,Tables!$F:$F,0)))</f>
        <v>3</v>
      </c>
      <c r="AA25" s="7" t="str">
        <f>IF($T25="","",INDEX(Tables!$B:$B,MATCH($T25,Tables!$F:$F,0)))</f>
        <v/>
      </c>
      <c r="AB25" s="7">
        <f t="shared" si="4"/>
        <v>0</v>
      </c>
      <c r="AC25" s="7">
        <f t="shared" si="5"/>
        <v>0</v>
      </c>
      <c r="AD25" s="54">
        <f t="shared" si="6"/>
        <v>0</v>
      </c>
      <c r="AE25" s="2" t="s">
        <v>108</v>
      </c>
      <c r="AF25" t="s">
        <v>437</v>
      </c>
    </row>
    <row r="26" spans="1:32" hidden="1" x14ac:dyDescent="0.25">
      <c r="A26" s="5">
        <f>IF(B26="","",MAX($A$1:$A25)+1)</f>
        <v>25</v>
      </c>
      <c r="B26" s="8" t="s">
        <v>221</v>
      </c>
      <c r="C26" s="7">
        <f>IF(B26="","",MATCH(B26,Tables!F:F,0))</f>
        <v>4</v>
      </c>
      <c r="D26" s="3" t="str" cm="1">
        <f t="array" ref="D26">IF(C26="","",IF(ISERROR(C26),"",INDEX(Tables!E:E,C26)))</f>
        <v>estdt</v>
      </c>
      <c r="E26" t="s">
        <v>69</v>
      </c>
      <c r="F26" s="1" t="str">
        <f t="shared" si="1"/>
        <v>estdtPhotoFaceExt</v>
      </c>
      <c r="G26" t="s">
        <v>248</v>
      </c>
      <c r="H26" s="17">
        <v>3</v>
      </c>
      <c r="R26" s="2" t="s">
        <v>118</v>
      </c>
      <c r="S26" t="s">
        <v>102</v>
      </c>
      <c r="V26" s="1" t="str">
        <f t="shared" si="7"/>
        <v/>
      </c>
      <c r="W26" s="53" t="str">
        <f t="shared" si="8"/>
        <v>typevarchar_size3</v>
      </c>
      <c r="X26" s="53" t="str">
        <f t="shared" si="0"/>
        <v/>
      </c>
      <c r="Y26" s="53">
        <f t="shared" si="9"/>
        <v>0</v>
      </c>
      <c r="Z26" s="7">
        <f>IF($B26="",0,INDEX(Tables!$B:$B,MATCH($B26,Tables!$F:$F,0)))</f>
        <v>3</v>
      </c>
      <c r="AA26" s="7" t="str">
        <f>IF($T26="","",INDEX(Tables!$B:$B,MATCH($T26,Tables!$F:$F,0)))</f>
        <v/>
      </c>
      <c r="AB26" s="7">
        <f t="shared" si="4"/>
        <v>0</v>
      </c>
      <c r="AC26" s="7">
        <f t="shared" si="5"/>
        <v>0</v>
      </c>
      <c r="AD26" s="54">
        <f t="shared" si="6"/>
        <v>0</v>
      </c>
      <c r="AE26" s="2" t="s">
        <v>108</v>
      </c>
      <c r="AF26" t="s">
        <v>438</v>
      </c>
    </row>
    <row r="27" spans="1:32" hidden="1" x14ac:dyDescent="0.25">
      <c r="A27" s="5">
        <f>IF(B27="","",MAX($A$1:$A26)+1)</f>
        <v>26</v>
      </c>
      <c r="B27" s="8" t="s">
        <v>221</v>
      </c>
      <c r="C27" s="7">
        <f>IF(B27="","",MATCH(B27,Tables!F:F,0))</f>
        <v>4</v>
      </c>
      <c r="D27" s="3" t="str" cm="1">
        <f t="array" ref="D27">IF(C27="","",IF(ISERROR(C27),"",INDEX(Tables!E:E,C27)))</f>
        <v>estdt</v>
      </c>
      <c r="E27" t="s">
        <v>70</v>
      </c>
      <c r="F27" s="1" t="str">
        <f t="shared" si="1"/>
        <v>estdtPhotoDocFrontExt</v>
      </c>
      <c r="G27" t="s">
        <v>248</v>
      </c>
      <c r="H27" s="17">
        <v>3</v>
      </c>
      <c r="R27" s="2" t="s">
        <v>118</v>
      </c>
      <c r="S27" t="s">
        <v>103</v>
      </c>
      <c r="V27" s="1" t="str">
        <f t="shared" si="7"/>
        <v/>
      </c>
      <c r="W27" s="53" t="str">
        <f t="shared" si="8"/>
        <v>typevarchar_size3</v>
      </c>
      <c r="X27" s="53" t="str">
        <f t="shared" si="0"/>
        <v/>
      </c>
      <c r="Y27" s="53">
        <f t="shared" si="9"/>
        <v>0</v>
      </c>
      <c r="Z27" s="7">
        <f>IF($B27="",0,INDEX(Tables!$B:$B,MATCH($B27,Tables!$F:$F,0)))</f>
        <v>3</v>
      </c>
      <c r="AA27" s="7" t="str">
        <f>IF($T27="","",INDEX(Tables!$B:$B,MATCH($T27,Tables!$F:$F,0)))</f>
        <v/>
      </c>
      <c r="AB27" s="7">
        <f t="shared" si="4"/>
        <v>0</v>
      </c>
      <c r="AC27" s="7">
        <f t="shared" si="5"/>
        <v>0</v>
      </c>
      <c r="AD27" s="54">
        <f t="shared" si="6"/>
        <v>0</v>
      </c>
      <c r="AE27" s="2" t="s">
        <v>108</v>
      </c>
      <c r="AF27" t="s">
        <v>439</v>
      </c>
    </row>
    <row r="28" spans="1:32" hidden="1" x14ac:dyDescent="0.25">
      <c r="A28" s="5">
        <f>IF(B28="","",MAX($A$1:$A27)+1)</f>
        <v>27</v>
      </c>
      <c r="B28" s="8" t="s">
        <v>221</v>
      </c>
      <c r="C28" s="7">
        <f>IF(B28="","",MATCH(B28,Tables!F:F,0))</f>
        <v>4</v>
      </c>
      <c r="D28" s="3" t="str" cm="1">
        <f t="array" ref="D28">IF(C28="","",IF(ISERROR(C28),"",INDEX(Tables!E:E,C28)))</f>
        <v>estdt</v>
      </c>
      <c r="E28" t="s">
        <v>71</v>
      </c>
      <c r="F28" s="1" t="str">
        <f t="shared" si="1"/>
        <v>estdtPhotoDocBackExt</v>
      </c>
      <c r="G28" t="s">
        <v>248</v>
      </c>
      <c r="H28" s="17">
        <v>3</v>
      </c>
      <c r="R28" s="2" t="s">
        <v>118</v>
      </c>
      <c r="S28" t="s">
        <v>104</v>
      </c>
      <c r="V28" s="1" t="str">
        <f t="shared" si="7"/>
        <v/>
      </c>
      <c r="W28" s="53" t="str">
        <f t="shared" si="8"/>
        <v>typevarchar_size3</v>
      </c>
      <c r="X28" s="53" t="str">
        <f t="shared" si="0"/>
        <v/>
      </c>
      <c r="Y28" s="53">
        <f t="shared" si="9"/>
        <v>0</v>
      </c>
      <c r="Z28" s="7">
        <f>IF($B28="",0,INDEX(Tables!$B:$B,MATCH($B28,Tables!$F:$F,0)))</f>
        <v>3</v>
      </c>
      <c r="AA28" s="7" t="str">
        <f>IF($T28="","",INDEX(Tables!$B:$B,MATCH($T28,Tables!$F:$F,0)))</f>
        <v/>
      </c>
      <c r="AB28" s="7">
        <f t="shared" si="4"/>
        <v>0</v>
      </c>
      <c r="AC28" s="7">
        <f t="shared" si="5"/>
        <v>0</v>
      </c>
      <c r="AD28" s="54">
        <f t="shared" si="6"/>
        <v>0</v>
      </c>
      <c r="AE28" s="2" t="s">
        <v>108</v>
      </c>
      <c r="AF28" t="s">
        <v>440</v>
      </c>
    </row>
    <row r="29" spans="1:32" hidden="1" x14ac:dyDescent="0.25">
      <c r="A29" s="5">
        <f>IF(B29="","",MAX($A$1:$A28)+1)</f>
        <v>28</v>
      </c>
      <c r="B29" s="8" t="s">
        <v>221</v>
      </c>
      <c r="C29" s="7">
        <f>IF(B29="","",MATCH(B29,Tables!F:F,0))</f>
        <v>4</v>
      </c>
      <c r="D29" s="3" t="str" cm="1">
        <f t="array" ref="D29">IF(C29="","",IF(ISERROR(C29),"",INDEX(Tables!E:E,C29)))</f>
        <v>estdt</v>
      </c>
      <c r="E29" t="s">
        <v>72</v>
      </c>
      <c r="F29" s="1" t="str">
        <f t="shared" si="1"/>
        <v>estdtPhotoDocAddressExt</v>
      </c>
      <c r="G29" t="s">
        <v>248</v>
      </c>
      <c r="H29" s="17">
        <v>3</v>
      </c>
      <c r="R29" s="2" t="s">
        <v>118</v>
      </c>
      <c r="S29" t="s">
        <v>231</v>
      </c>
      <c r="V29" s="1" t="str">
        <f t="shared" si="7"/>
        <v/>
      </c>
      <c r="W29" s="53" t="str">
        <f t="shared" si="8"/>
        <v>typevarchar_size3</v>
      </c>
      <c r="X29" s="53" t="str">
        <f t="shared" si="0"/>
        <v/>
      </c>
      <c r="Y29" s="53">
        <f t="shared" si="9"/>
        <v>0</v>
      </c>
      <c r="Z29" s="7">
        <f>IF($B29="",0,INDEX(Tables!$B:$B,MATCH($B29,Tables!$F:$F,0)))</f>
        <v>3</v>
      </c>
      <c r="AA29" s="7" t="str">
        <f>IF($T29="","",INDEX(Tables!$B:$B,MATCH($T29,Tables!$F:$F,0)))</f>
        <v/>
      </c>
      <c r="AB29" s="7">
        <f t="shared" si="4"/>
        <v>0</v>
      </c>
      <c r="AC29" s="7">
        <f t="shared" si="5"/>
        <v>0</v>
      </c>
      <c r="AD29" s="54">
        <f t="shared" si="6"/>
        <v>0</v>
      </c>
      <c r="AE29" s="2" t="s">
        <v>108</v>
      </c>
      <c r="AF29" t="s">
        <v>441</v>
      </c>
    </row>
    <row r="30" spans="1:32" hidden="1" x14ac:dyDescent="0.25">
      <c r="A30" s="5">
        <f>IF(B30="","",MAX($A$1:$A29)+1)</f>
        <v>29</v>
      </c>
      <c r="B30" s="8" t="s">
        <v>221</v>
      </c>
      <c r="C30" s="7">
        <f>IF(B30="","",MATCH(B30,Tables!F:F,0))</f>
        <v>4</v>
      </c>
      <c r="D30" s="3" t="str" cm="1">
        <f t="array" ref="D30">IF(C30="","",IF(ISERROR(C30),"",INDEX(Tables!E:E,C30)))</f>
        <v>estdt</v>
      </c>
      <c r="E30" t="s">
        <v>73</v>
      </c>
      <c r="F30" s="1" t="str">
        <f t="shared" si="1"/>
        <v>estdtPhotoDocRegisExt</v>
      </c>
      <c r="G30" t="s">
        <v>248</v>
      </c>
      <c r="H30" s="17">
        <v>3</v>
      </c>
      <c r="R30" s="2" t="s">
        <v>118</v>
      </c>
      <c r="S30" t="s">
        <v>105</v>
      </c>
      <c r="V30" s="1" t="str">
        <f t="shared" si="7"/>
        <v/>
      </c>
      <c r="W30" s="53" t="str">
        <f t="shared" si="8"/>
        <v>typevarchar_size3</v>
      </c>
      <c r="X30" s="53" t="str">
        <f t="shared" si="0"/>
        <v/>
      </c>
      <c r="Y30" s="53">
        <f t="shared" si="9"/>
        <v>0</v>
      </c>
      <c r="Z30" s="7">
        <f>IF($B30="",0,INDEX(Tables!$B:$B,MATCH($B30,Tables!$F:$F,0)))</f>
        <v>3</v>
      </c>
      <c r="AA30" s="7" t="str">
        <f>IF($T30="","",INDEX(Tables!$B:$B,MATCH($T30,Tables!$F:$F,0)))</f>
        <v/>
      </c>
      <c r="AB30" s="7">
        <f t="shared" si="4"/>
        <v>0</v>
      </c>
      <c r="AC30" s="7">
        <f t="shared" si="5"/>
        <v>0</v>
      </c>
      <c r="AD30" s="54">
        <f t="shared" si="6"/>
        <v>0</v>
      </c>
      <c r="AE30" s="2" t="s">
        <v>108</v>
      </c>
      <c r="AF30" t="s">
        <v>442</v>
      </c>
    </row>
    <row r="31" spans="1:32" hidden="1" x14ac:dyDescent="0.25">
      <c r="A31" s="5">
        <f>IF(B31="","",MAX($A$1:$A30)+1)</f>
        <v>30</v>
      </c>
      <c r="B31" s="8" t="s">
        <v>221</v>
      </c>
      <c r="C31" s="7">
        <f>IF(B31="","",MATCH(B31,Tables!F:F,0))</f>
        <v>4</v>
      </c>
      <c r="D31" s="3" t="str" cm="1">
        <f t="array" ref="D31">IF(C31="","",IF(ISERROR(C31),"",INDEX(Tables!E:E,C31)))</f>
        <v>estdt</v>
      </c>
      <c r="E31" t="s">
        <v>364</v>
      </c>
      <c r="F31" s="1" t="str">
        <f t="shared" si="1"/>
        <v>estdtSystemSubDomain</v>
      </c>
      <c r="G31" t="s">
        <v>77</v>
      </c>
      <c r="H31"/>
      <c r="I31"/>
      <c r="R31" s="2" t="s">
        <v>118</v>
      </c>
      <c r="S31" t="s">
        <v>101</v>
      </c>
      <c r="V31" s="1" t="str">
        <f t="shared" si="7"/>
        <v/>
      </c>
      <c r="W31" s="53" t="str">
        <f t="shared" si="8"/>
        <v>typetext_size</v>
      </c>
      <c r="X31" s="53" t="str">
        <f t="shared" si="0"/>
        <v/>
      </c>
      <c r="Y31" s="53">
        <f t="shared" si="9"/>
        <v>0</v>
      </c>
      <c r="Z31" s="7">
        <f>IF($B31="",0,INDEX(Tables!$B:$B,MATCH($B31,Tables!$F:$F,0)))</f>
        <v>3</v>
      </c>
      <c r="AA31" s="7" t="str">
        <f>IF($T31="","",INDEX(Tables!$B:$B,MATCH($T31,Tables!$F:$F,0)))</f>
        <v/>
      </c>
      <c r="AB31" s="7">
        <f t="shared" si="4"/>
        <v>0</v>
      </c>
      <c r="AC31" s="7">
        <f t="shared" si="5"/>
        <v>0</v>
      </c>
      <c r="AD31" s="54">
        <f t="shared" si="6"/>
        <v>0</v>
      </c>
      <c r="AE31" s="2" t="s">
        <v>108</v>
      </c>
      <c r="AF31" t="s">
        <v>101</v>
      </c>
    </row>
    <row r="32" spans="1:32" hidden="1" x14ac:dyDescent="0.25">
      <c r="A32" s="5">
        <f>IF(B32="","",MAX($A$1:$A31)+1)</f>
        <v>31</v>
      </c>
      <c r="B32" s="8" t="s">
        <v>221</v>
      </c>
      <c r="C32" s="7">
        <f>IF(B32="","",MATCH(B32,Tables!F:F,0))</f>
        <v>4</v>
      </c>
      <c r="D32" s="3" t="str" cm="1">
        <f t="array" ref="D32">IF(C32="","",IF(ISERROR(C32),"",INDEX(Tables!E:E,C32)))</f>
        <v>estdt</v>
      </c>
      <c r="E32" t="s">
        <v>110</v>
      </c>
      <c r="F32" s="1" t="str">
        <f t="shared" si="1"/>
        <v>estdtSystemActive</v>
      </c>
      <c r="G32" t="s">
        <v>245</v>
      </c>
      <c r="H32" s="17">
        <v>1</v>
      </c>
      <c r="R32" s="2" t="s">
        <v>116</v>
      </c>
      <c r="S32" t="s">
        <v>119</v>
      </c>
      <c r="V32" s="1" t="str">
        <f t="shared" si="7"/>
        <v/>
      </c>
      <c r="W32" s="53" t="str">
        <f t="shared" si="8"/>
        <v>typebit_size1</v>
      </c>
      <c r="X32" s="53" t="str">
        <f t="shared" si="0"/>
        <v/>
      </c>
      <c r="Y32" s="53">
        <f t="shared" si="9"/>
        <v>0</v>
      </c>
      <c r="Z32" s="7">
        <f>IF($B32="",0,INDEX(Tables!$B:$B,MATCH($B32,Tables!$F:$F,0)))</f>
        <v>3</v>
      </c>
      <c r="AA32" s="7" t="str">
        <f>IF($T32="","",INDEX(Tables!$B:$B,MATCH($T32,Tables!$F:$F,0)))</f>
        <v/>
      </c>
      <c r="AB32" s="7">
        <f t="shared" si="4"/>
        <v>0</v>
      </c>
      <c r="AC32" s="7">
        <f t="shared" si="5"/>
        <v>0</v>
      </c>
      <c r="AD32" s="54">
        <f t="shared" si="6"/>
        <v>0</v>
      </c>
      <c r="AE32" s="2" t="s">
        <v>115</v>
      </c>
      <c r="AF32" t="s">
        <v>119</v>
      </c>
    </row>
    <row r="33" spans="1:34" hidden="1" x14ac:dyDescent="0.25">
      <c r="A33" s="5">
        <f>IF(B33="","",MAX($A$1:$A32)+1)</f>
        <v>32</v>
      </c>
      <c r="B33" s="8" t="s">
        <v>221</v>
      </c>
      <c r="C33" s="7">
        <f>IF(B33="","",MATCH(B33,Tables!F:F,0))</f>
        <v>4</v>
      </c>
      <c r="D33" s="3" t="str" cm="1">
        <f t="array" ref="D33">IF(C33="","",IF(ISERROR(C33),"",INDEX(Tables!E:E,C33)))</f>
        <v>estdt</v>
      </c>
      <c r="E33" t="s">
        <v>111</v>
      </c>
      <c r="F33" s="1" t="str">
        <f t="shared" si="1"/>
        <v>estdtSystemCreationDt</v>
      </c>
      <c r="G33" t="s">
        <v>297</v>
      </c>
      <c r="H33"/>
      <c r="I33"/>
      <c r="R33" s="2" t="s">
        <v>117</v>
      </c>
      <c r="S33" t="s">
        <v>120</v>
      </c>
      <c r="V33" s="1" t="str">
        <f t="shared" si="7"/>
        <v/>
      </c>
      <c r="W33" s="53" t="str">
        <f t="shared" si="8"/>
        <v>typeDATETIME_size</v>
      </c>
      <c r="X33" s="53" t="str">
        <f t="shared" si="0"/>
        <v/>
      </c>
      <c r="Y33" s="53">
        <f t="shared" si="9"/>
        <v>0</v>
      </c>
      <c r="Z33" s="7">
        <f>IF($B33="",0,INDEX(Tables!$B:$B,MATCH($B33,Tables!$F:$F,0)))</f>
        <v>3</v>
      </c>
      <c r="AA33" s="7" t="str">
        <f>IF($T33="","",INDEX(Tables!$B:$B,MATCH($T33,Tables!$F:$F,0)))</f>
        <v/>
      </c>
      <c r="AB33" s="7">
        <f t="shared" si="4"/>
        <v>0</v>
      </c>
      <c r="AC33" s="7">
        <f t="shared" si="5"/>
        <v>0</v>
      </c>
      <c r="AD33" s="54">
        <f t="shared" si="6"/>
        <v>0</v>
      </c>
      <c r="AE33" s="2" t="s">
        <v>109</v>
      </c>
      <c r="AF33" t="s">
        <v>120</v>
      </c>
    </row>
    <row r="34" spans="1:34" hidden="1" x14ac:dyDescent="0.25">
      <c r="A34" s="5">
        <f>IF(B34="","",MAX($A$1:$A33)+1)</f>
        <v>33</v>
      </c>
      <c r="B34" s="8" t="s">
        <v>221</v>
      </c>
      <c r="C34" s="7">
        <f>IF(B34="","",MATCH(B34,Tables!F:F,0))</f>
        <v>4</v>
      </c>
      <c r="D34" s="3" t="str" cm="1">
        <f t="array" ref="D34">IF(C34="","",IF(ISERROR(C34),"",INDEX(Tables!E:E,C34)))</f>
        <v>estdt</v>
      </c>
      <c r="E34" t="s">
        <v>112</v>
      </c>
      <c r="F34" s="1" t="str">
        <f t="shared" si="1"/>
        <v>estdtSystemCreationID</v>
      </c>
      <c r="G34" t="s">
        <v>243</v>
      </c>
      <c r="H34" s="17">
        <v>5</v>
      </c>
      <c r="K34" s="2" t="s">
        <v>46</v>
      </c>
      <c r="N34" s="2" t="s">
        <v>46</v>
      </c>
      <c r="S34" t="s">
        <v>121</v>
      </c>
      <c r="T34" s="8" t="s">
        <v>228</v>
      </c>
      <c r="U34" s="8" t="s">
        <v>232</v>
      </c>
      <c r="V34" s="1" t="str">
        <f t="shared" si="7"/>
        <v>FK_estdtSystemCreationID_usrSystemIdx</v>
      </c>
      <c r="W34" s="53" t="str">
        <f t="shared" si="8"/>
        <v>typeint_size5_unsigned</v>
      </c>
      <c r="X34" s="53" t="str">
        <f t="shared" si="0"/>
        <v>typeint_size5_unsigned</v>
      </c>
      <c r="Y34" s="53">
        <f t="shared" si="9"/>
        <v>0</v>
      </c>
      <c r="Z34" s="7">
        <f>IF($B34="",0,INDEX(Tables!$B:$B,MATCH($B34,Tables!$F:$F,0)))</f>
        <v>3</v>
      </c>
      <c r="AA34" s="7">
        <f>IF($T34="","",INDEX(Tables!$B:$B,MATCH($T34,Tables!$F:$F,0)))</f>
        <v>0</v>
      </c>
      <c r="AB34" s="7">
        <f t="shared" si="4"/>
        <v>0</v>
      </c>
      <c r="AC34" s="7">
        <f t="shared" si="5"/>
        <v>0</v>
      </c>
      <c r="AD34" s="54">
        <f t="shared" si="6"/>
        <v>0</v>
      </c>
      <c r="AE34" s="2" t="s">
        <v>107</v>
      </c>
      <c r="AF34" t="s">
        <v>444</v>
      </c>
    </row>
    <row r="35" spans="1:34" hidden="1" x14ac:dyDescent="0.25">
      <c r="A35" s="5">
        <f>IF(B35="","",MAX($A$1:$A34)+1)</f>
        <v>34</v>
      </c>
      <c r="B35" s="8" t="s">
        <v>221</v>
      </c>
      <c r="C35" s="7">
        <f>IF(B35="","",MATCH(B35,Tables!F:F,0))</f>
        <v>4</v>
      </c>
      <c r="D35" s="3" t="str" cm="1">
        <f t="array" ref="D35">IF(C35="","",IF(ISERROR(C35),"",INDEX(Tables!E:E,C35)))</f>
        <v>estdt</v>
      </c>
      <c r="E35" t="s">
        <v>113</v>
      </c>
      <c r="F35" s="1" t="str">
        <f t="shared" si="1"/>
        <v>estdtSystemLastUpdateDt</v>
      </c>
      <c r="G35" t="s">
        <v>297</v>
      </c>
      <c r="H35"/>
      <c r="I35"/>
      <c r="R35" s="2" t="s">
        <v>118</v>
      </c>
      <c r="S35" t="s">
        <v>122</v>
      </c>
      <c r="V35" s="1" t="str">
        <f t="shared" si="7"/>
        <v/>
      </c>
      <c r="W35" s="53" t="str">
        <f t="shared" si="8"/>
        <v>typeDATETIME_size</v>
      </c>
      <c r="X35" s="53" t="str">
        <f t="shared" si="0"/>
        <v/>
      </c>
      <c r="Y35" s="53">
        <f t="shared" si="9"/>
        <v>0</v>
      </c>
      <c r="Z35" s="7">
        <f>IF($B35="",0,INDEX(Tables!$B:$B,MATCH($B35,Tables!$F:$F,0)))</f>
        <v>3</v>
      </c>
      <c r="AA35" s="7" t="str">
        <f>IF($T35="","",INDEX(Tables!$B:$B,MATCH($T35,Tables!$F:$F,0)))</f>
        <v/>
      </c>
      <c r="AB35" s="7">
        <f t="shared" si="4"/>
        <v>0</v>
      </c>
      <c r="AC35" s="7">
        <f t="shared" si="5"/>
        <v>0</v>
      </c>
      <c r="AD35" s="54">
        <f t="shared" si="6"/>
        <v>0</v>
      </c>
      <c r="AE35" s="2" t="s">
        <v>109</v>
      </c>
      <c r="AF35" t="s">
        <v>445</v>
      </c>
    </row>
    <row r="36" spans="1:34" hidden="1" x14ac:dyDescent="0.25">
      <c r="A36" s="5">
        <f>IF(B36="","",MAX($A$1:$A35)+1)</f>
        <v>35</v>
      </c>
      <c r="B36" s="8" t="s">
        <v>221</v>
      </c>
      <c r="C36" s="7">
        <f>IF(B36="","",MATCH(B36,Tables!F:F,0))</f>
        <v>4</v>
      </c>
      <c r="D36" s="3" t="str" cm="1">
        <f t="array" ref="D36">IF(C36="","",IF(ISERROR(C36),"",INDEX(Tables!E:E,C36)))</f>
        <v>estdt</v>
      </c>
      <c r="E36" t="s">
        <v>114</v>
      </c>
      <c r="F36" s="1" t="str">
        <f t="shared" si="1"/>
        <v>estdtSystemLastUpdateID</v>
      </c>
      <c r="G36" t="s">
        <v>243</v>
      </c>
      <c r="H36" s="17">
        <v>5</v>
      </c>
      <c r="N36" s="2" t="s">
        <v>46</v>
      </c>
      <c r="R36" s="2" t="s">
        <v>118</v>
      </c>
      <c r="S36" t="s">
        <v>123</v>
      </c>
      <c r="T36" s="8" t="s">
        <v>228</v>
      </c>
      <c r="U36" s="8" t="s">
        <v>232</v>
      </c>
      <c r="V36" s="1" t="str">
        <f t="shared" si="7"/>
        <v>FK_estdtSystemLastUpdateID_usrSystemIdx</v>
      </c>
      <c r="W36" s="53" t="str">
        <f t="shared" si="8"/>
        <v>typeint_size5_unsigned</v>
      </c>
      <c r="X36" s="53" t="str">
        <f t="shared" si="0"/>
        <v>typeint_size5_unsigned</v>
      </c>
      <c r="Y36" s="53">
        <f t="shared" si="9"/>
        <v>0</v>
      </c>
      <c r="Z36" s="7">
        <f>IF($B36="",0,INDEX(Tables!$B:$B,MATCH($B36,Tables!$F:$F,0)))</f>
        <v>3</v>
      </c>
      <c r="AA36" s="7">
        <f>IF($T36="","",INDEX(Tables!$B:$B,MATCH($T36,Tables!$F:$F,0)))</f>
        <v>0</v>
      </c>
      <c r="AB36" s="7">
        <f t="shared" si="4"/>
        <v>0</v>
      </c>
      <c r="AC36" s="7">
        <f t="shared" si="5"/>
        <v>0</v>
      </c>
      <c r="AD36" s="54">
        <f t="shared" si="6"/>
        <v>0</v>
      </c>
      <c r="AE36" s="2" t="s">
        <v>107</v>
      </c>
      <c r="AF36" t="s">
        <v>443</v>
      </c>
    </row>
    <row r="37" spans="1:34" hidden="1" x14ac:dyDescent="0.25">
      <c r="A37" s="5">
        <f>IF(B37="","",MAX($A$1:$A36)+1)</f>
        <v>36</v>
      </c>
      <c r="B37" s="8" t="s">
        <v>222</v>
      </c>
      <c r="C37" s="7">
        <f>IF(B37="","",MATCH(B37,Tables!F:F,0))</f>
        <v>3</v>
      </c>
      <c r="D37" s="3" t="str" cm="1">
        <f t="array" ref="D37">IF(C37="","",IF(ISERROR(C37),"",INDEX(Tables!E:E,C37)))</f>
        <v>crnam</v>
      </c>
      <c r="E37" t="s">
        <v>218</v>
      </c>
      <c r="F37" s="1" t="str">
        <f t="shared" si="1"/>
        <v>crnamSystemIdx</v>
      </c>
      <c r="G37" t="s">
        <v>243</v>
      </c>
      <c r="H37" s="17">
        <v>5</v>
      </c>
      <c r="J37" s="2" t="s">
        <v>46</v>
      </c>
      <c r="K37" s="2" t="s">
        <v>46</v>
      </c>
      <c r="L37" s="2" t="s">
        <v>46</v>
      </c>
      <c r="N37" s="2" t="s">
        <v>46</v>
      </c>
      <c r="P37" s="2" t="s">
        <v>46</v>
      </c>
      <c r="S37" t="s">
        <v>124</v>
      </c>
      <c r="V37" s="1" t="str">
        <f t="shared" si="7"/>
        <v/>
      </c>
      <c r="W37" s="53" t="str">
        <f t="shared" si="8"/>
        <v>typeint_size5_unsigned</v>
      </c>
      <c r="X37" s="53" t="str">
        <f t="shared" si="0"/>
        <v/>
      </c>
      <c r="Y37" s="53">
        <f t="shared" si="9"/>
        <v>0</v>
      </c>
      <c r="Z37" s="7">
        <f>IF($B37="",0,INDEX(Tables!$B:$B,MATCH($B37,Tables!$F:$F,0)))</f>
        <v>2</v>
      </c>
      <c r="AA37" s="7" t="str">
        <f>IF($T37="","",INDEX(Tables!$B:$B,MATCH($T37,Tables!$F:$F,0)))</f>
        <v/>
      </c>
      <c r="AB37" s="7">
        <f t="shared" si="4"/>
        <v>0</v>
      </c>
      <c r="AC37" s="7">
        <f t="shared" si="5"/>
        <v>0</v>
      </c>
      <c r="AD37" s="54">
        <f t="shared" si="6"/>
        <v>0</v>
      </c>
      <c r="AE37" s="2" t="s">
        <v>107</v>
      </c>
      <c r="AF37" t="s">
        <v>414</v>
      </c>
    </row>
    <row r="38" spans="1:34" x14ac:dyDescent="0.25">
      <c r="A38" s="5">
        <f>IF(B38="","",MAX($A$1:$A37)+1)</f>
        <v>37</v>
      </c>
      <c r="B38" s="8" t="s">
        <v>222</v>
      </c>
      <c r="C38" s="7">
        <f>IF(B38="","",MATCH(B38,Tables!F:F,0))</f>
        <v>3</v>
      </c>
      <c r="D38" s="3" t="str" cm="1">
        <f t="array" ref="D38">IF(C38="","",IF(ISERROR(C38),"",INDEX(Tables!E:E,C38)))</f>
        <v>crnam</v>
      </c>
      <c r="E38" t="s">
        <v>127</v>
      </c>
      <c r="F38" s="1" t="str">
        <f t="shared" si="1"/>
        <v>crnamName</v>
      </c>
      <c r="G38" t="s">
        <v>298</v>
      </c>
      <c r="H38" s="17">
        <v>40</v>
      </c>
      <c r="I38"/>
      <c r="K38" s="2" t="s">
        <v>46</v>
      </c>
      <c r="L38" s="2" t="s">
        <v>46</v>
      </c>
      <c r="S38" t="s">
        <v>88</v>
      </c>
      <c r="V38" s="1" t="str">
        <f t="shared" si="7"/>
        <v/>
      </c>
      <c r="W38" s="53" t="str">
        <f t="shared" si="8"/>
        <v>typeVARCHAR_size40</v>
      </c>
      <c r="X38" s="53" t="str">
        <f t="shared" si="0"/>
        <v/>
      </c>
      <c r="Y38" s="53">
        <f t="shared" si="9"/>
        <v>0</v>
      </c>
      <c r="Z38" s="7">
        <f>IF($B38="",0,INDEX(Tables!$B:$B,MATCH($B38,Tables!$F:$F,0)))</f>
        <v>2</v>
      </c>
      <c r="AA38" s="7" t="str">
        <f>IF($T38="","",INDEX(Tables!$B:$B,MATCH($T38,Tables!$F:$F,0)))</f>
        <v/>
      </c>
      <c r="AB38" s="7">
        <f t="shared" si="4"/>
        <v>0</v>
      </c>
      <c r="AC38" s="7">
        <f t="shared" si="5"/>
        <v>0</v>
      </c>
      <c r="AD38" s="54">
        <f t="shared" si="6"/>
        <v>0</v>
      </c>
      <c r="AE38" s="2" t="s">
        <v>108</v>
      </c>
      <c r="AF38" t="s">
        <v>426</v>
      </c>
      <c r="AH38" s="2" t="s">
        <v>559</v>
      </c>
    </row>
    <row r="39" spans="1:34" hidden="1" x14ac:dyDescent="0.25">
      <c r="A39" s="5">
        <f>IF(B39="","",MAX($A$1:$A38)+1)</f>
        <v>38</v>
      </c>
      <c r="B39" s="8" t="s">
        <v>222</v>
      </c>
      <c r="C39" s="7">
        <f>IF(B39="","",MATCH(B39,Tables!F:F,0))</f>
        <v>3</v>
      </c>
      <c r="D39" s="3" t="str" cm="1">
        <f t="array" ref="D39">IF(C39="","",IF(ISERROR(C39),"",INDEX(Tables!E:E,C39)))</f>
        <v>crnam</v>
      </c>
      <c r="E39" t="s">
        <v>110</v>
      </c>
      <c r="F39" s="1" t="str">
        <f t="shared" si="1"/>
        <v>crnamSystemActive</v>
      </c>
      <c r="G39" t="s">
        <v>245</v>
      </c>
      <c r="H39" s="17">
        <v>1</v>
      </c>
      <c r="R39" s="2" t="s">
        <v>116</v>
      </c>
      <c r="S39" t="s">
        <v>119</v>
      </c>
      <c r="V39" s="1" t="str">
        <f t="shared" si="7"/>
        <v/>
      </c>
      <c r="W39" s="53" t="str">
        <f t="shared" si="8"/>
        <v>typebit_size1</v>
      </c>
      <c r="X39" s="53" t="str">
        <f t="shared" si="0"/>
        <v/>
      </c>
      <c r="Y39" s="53">
        <f t="shared" si="9"/>
        <v>0</v>
      </c>
      <c r="Z39" s="7">
        <f>IF($B39="",0,INDEX(Tables!$B:$B,MATCH($B39,Tables!$F:$F,0)))</f>
        <v>2</v>
      </c>
      <c r="AA39" s="7" t="str">
        <f>IF($T39="","",INDEX(Tables!$B:$B,MATCH($T39,Tables!$F:$F,0)))</f>
        <v/>
      </c>
      <c r="AB39" s="7">
        <f t="shared" si="4"/>
        <v>0</v>
      </c>
      <c r="AC39" s="7">
        <f t="shared" si="5"/>
        <v>0</v>
      </c>
      <c r="AD39" s="54">
        <f t="shared" si="6"/>
        <v>0</v>
      </c>
      <c r="AE39" s="2" t="s">
        <v>115</v>
      </c>
      <c r="AF39" t="s">
        <v>119</v>
      </c>
    </row>
    <row r="40" spans="1:34" hidden="1" x14ac:dyDescent="0.25">
      <c r="A40" s="5">
        <f>IF(B40="","",MAX($A$1:$A39)+1)</f>
        <v>39</v>
      </c>
      <c r="B40" s="8" t="s">
        <v>222</v>
      </c>
      <c r="C40" s="7">
        <f>IF(B40="","",MATCH(B40,Tables!F:F,0))</f>
        <v>3</v>
      </c>
      <c r="D40" s="3" t="str" cm="1">
        <f t="array" ref="D40">IF(C40="","",IF(ISERROR(C40),"",INDEX(Tables!E:E,C40)))</f>
        <v>crnam</v>
      </c>
      <c r="E40" t="s">
        <v>111</v>
      </c>
      <c r="F40" s="1" t="str">
        <f t="shared" si="1"/>
        <v>crnamSystemCreationDt</v>
      </c>
      <c r="G40" t="s">
        <v>297</v>
      </c>
      <c r="H40"/>
      <c r="I40"/>
      <c r="R40" s="2" t="s">
        <v>117</v>
      </c>
      <c r="S40" t="s">
        <v>120</v>
      </c>
      <c r="V40" s="1" t="str">
        <f t="shared" si="7"/>
        <v/>
      </c>
      <c r="W40" s="53" t="str">
        <f t="shared" si="8"/>
        <v>typeDATETIME_size</v>
      </c>
      <c r="X40" s="53" t="str">
        <f t="shared" si="0"/>
        <v/>
      </c>
      <c r="Y40" s="53">
        <f t="shared" si="9"/>
        <v>0</v>
      </c>
      <c r="Z40" s="7">
        <f>IF($B40="",0,INDEX(Tables!$B:$B,MATCH($B40,Tables!$F:$F,0)))</f>
        <v>2</v>
      </c>
      <c r="AA40" s="7" t="str">
        <f>IF($T40="","",INDEX(Tables!$B:$B,MATCH($T40,Tables!$F:$F,0)))</f>
        <v/>
      </c>
      <c r="AB40" s="7">
        <f t="shared" si="4"/>
        <v>0</v>
      </c>
      <c r="AC40" s="7">
        <f t="shared" si="5"/>
        <v>0</v>
      </c>
      <c r="AD40" s="54">
        <f t="shared" si="6"/>
        <v>0</v>
      </c>
      <c r="AE40" s="2" t="s">
        <v>109</v>
      </c>
      <c r="AF40" t="s">
        <v>120</v>
      </c>
    </row>
    <row r="41" spans="1:34" hidden="1" x14ac:dyDescent="0.25">
      <c r="A41" s="5">
        <f>IF(B41="","",MAX($A$1:$A40)+1)</f>
        <v>40</v>
      </c>
      <c r="B41" s="8" t="s">
        <v>222</v>
      </c>
      <c r="C41" s="7">
        <f>IF(B41="","",MATCH(B41,Tables!F:F,0))</f>
        <v>3</v>
      </c>
      <c r="D41" s="3" t="str" cm="1">
        <f t="array" ref="D41">IF(C41="","",IF(ISERROR(C41),"",INDEX(Tables!E:E,C41)))</f>
        <v>crnam</v>
      </c>
      <c r="E41" t="s">
        <v>112</v>
      </c>
      <c r="F41" s="1" t="str">
        <f t="shared" si="1"/>
        <v>crnamSystemCreationID</v>
      </c>
      <c r="G41" t="s">
        <v>243</v>
      </c>
      <c r="H41" s="17">
        <v>5</v>
      </c>
      <c r="K41" s="2" t="s">
        <v>46</v>
      </c>
      <c r="N41" s="2" t="s">
        <v>46</v>
      </c>
      <c r="S41" t="s">
        <v>121</v>
      </c>
      <c r="T41" s="8" t="s">
        <v>228</v>
      </c>
      <c r="U41" s="8" t="s">
        <v>232</v>
      </c>
      <c r="V41" s="1" t="str">
        <f t="shared" si="7"/>
        <v>FK_crnamSystemCreationID_usrSystemIdx</v>
      </c>
      <c r="W41" s="53" t="str">
        <f t="shared" si="8"/>
        <v>typeint_size5_unsigned</v>
      </c>
      <c r="X41" s="53" t="str">
        <f t="shared" si="0"/>
        <v>typeint_size5_unsigned</v>
      </c>
      <c r="Y41" s="53">
        <f t="shared" si="9"/>
        <v>0</v>
      </c>
      <c r="Z41" s="7">
        <f>IF($B41="",0,INDEX(Tables!$B:$B,MATCH($B41,Tables!$F:$F,0)))</f>
        <v>2</v>
      </c>
      <c r="AA41" s="7">
        <f>IF($T41="","",INDEX(Tables!$B:$B,MATCH($T41,Tables!$F:$F,0)))</f>
        <v>0</v>
      </c>
      <c r="AB41" s="7">
        <f t="shared" si="4"/>
        <v>0</v>
      </c>
      <c r="AC41" s="7">
        <f t="shared" si="5"/>
        <v>0</v>
      </c>
      <c r="AD41" s="54">
        <f t="shared" si="6"/>
        <v>0</v>
      </c>
      <c r="AE41" s="2" t="s">
        <v>107</v>
      </c>
      <c r="AF41" t="s">
        <v>444</v>
      </c>
    </row>
    <row r="42" spans="1:34" hidden="1" x14ac:dyDescent="0.25">
      <c r="A42" s="5">
        <f>IF(B42="","",MAX($A$1:$A41)+1)</f>
        <v>41</v>
      </c>
      <c r="B42" s="8" t="s">
        <v>222</v>
      </c>
      <c r="C42" s="7">
        <f>IF(B42="","",MATCH(B42,Tables!F:F,0))</f>
        <v>3</v>
      </c>
      <c r="D42" s="3" t="str" cm="1">
        <f t="array" ref="D42">IF(C42="","",IF(ISERROR(C42),"",INDEX(Tables!E:E,C42)))</f>
        <v>crnam</v>
      </c>
      <c r="E42" t="s">
        <v>113</v>
      </c>
      <c r="F42" s="1" t="str">
        <f t="shared" si="1"/>
        <v>crnamSystemLastUpdateDt</v>
      </c>
      <c r="G42" t="s">
        <v>297</v>
      </c>
      <c r="H42"/>
      <c r="I42"/>
      <c r="R42" s="2" t="s">
        <v>118</v>
      </c>
      <c r="S42" t="s">
        <v>122</v>
      </c>
      <c r="V42" s="1" t="str">
        <f t="shared" si="7"/>
        <v/>
      </c>
      <c r="W42" s="53" t="str">
        <f t="shared" si="8"/>
        <v>typeDATETIME_size</v>
      </c>
      <c r="X42" s="53" t="str">
        <f t="shared" si="0"/>
        <v/>
      </c>
      <c r="Y42" s="53">
        <f t="shared" si="9"/>
        <v>0</v>
      </c>
      <c r="Z42" s="7">
        <f>IF($B42="",0,INDEX(Tables!$B:$B,MATCH($B42,Tables!$F:$F,0)))</f>
        <v>2</v>
      </c>
      <c r="AA42" s="7" t="str">
        <f>IF($T42="","",INDEX(Tables!$B:$B,MATCH($T42,Tables!$F:$F,0)))</f>
        <v/>
      </c>
      <c r="AB42" s="7">
        <f t="shared" si="4"/>
        <v>0</v>
      </c>
      <c r="AC42" s="7">
        <f t="shared" si="5"/>
        <v>0</v>
      </c>
      <c r="AD42" s="54">
        <f t="shared" si="6"/>
        <v>0</v>
      </c>
      <c r="AE42" s="2" t="s">
        <v>109</v>
      </c>
      <c r="AF42" t="s">
        <v>445</v>
      </c>
    </row>
    <row r="43" spans="1:34" hidden="1" x14ac:dyDescent="0.25">
      <c r="A43" s="5">
        <f>IF(B43="","",MAX($A$1:$A42)+1)</f>
        <v>42</v>
      </c>
      <c r="B43" s="8" t="s">
        <v>222</v>
      </c>
      <c r="C43" s="7">
        <f>IF(B43="","",MATCH(B43,Tables!F:F,0))</f>
        <v>3</v>
      </c>
      <c r="D43" s="3" t="str" cm="1">
        <f t="array" ref="D43">IF(C43="","",IF(ISERROR(C43),"",INDEX(Tables!E:E,C43)))</f>
        <v>crnam</v>
      </c>
      <c r="E43" t="s">
        <v>114</v>
      </c>
      <c r="F43" s="1" t="str">
        <f t="shared" si="1"/>
        <v>crnamSystemLastUpdateID</v>
      </c>
      <c r="G43" t="s">
        <v>243</v>
      </c>
      <c r="H43" s="17">
        <v>5</v>
      </c>
      <c r="N43" s="2" t="s">
        <v>46</v>
      </c>
      <c r="R43" s="2" t="s">
        <v>118</v>
      </c>
      <c r="S43" t="s">
        <v>123</v>
      </c>
      <c r="T43" s="8" t="s">
        <v>228</v>
      </c>
      <c r="U43" s="8" t="s">
        <v>232</v>
      </c>
      <c r="V43" s="1" t="str">
        <f t="shared" si="7"/>
        <v>FK_crnamSystemLastUpdateID_usrSystemIdx</v>
      </c>
      <c r="W43" s="53" t="str">
        <f t="shared" si="8"/>
        <v>typeint_size5_unsigned</v>
      </c>
      <c r="X43" s="53" t="str">
        <f t="shared" si="0"/>
        <v>typeint_size5_unsigned</v>
      </c>
      <c r="Y43" s="53">
        <f t="shared" si="9"/>
        <v>0</v>
      </c>
      <c r="Z43" s="7">
        <f>IF($B43="",0,INDEX(Tables!$B:$B,MATCH($B43,Tables!$F:$F,0)))</f>
        <v>2</v>
      </c>
      <c r="AA43" s="7">
        <f>IF($T43="","",INDEX(Tables!$B:$B,MATCH($T43,Tables!$F:$F,0)))</f>
        <v>0</v>
      </c>
      <c r="AB43" s="7">
        <f t="shared" si="4"/>
        <v>0</v>
      </c>
      <c r="AC43" s="7">
        <f t="shared" si="5"/>
        <v>0</v>
      </c>
      <c r="AD43" s="54">
        <f t="shared" si="6"/>
        <v>0</v>
      </c>
      <c r="AE43" s="2" t="s">
        <v>107</v>
      </c>
      <c r="AF43" t="s">
        <v>443</v>
      </c>
    </row>
    <row r="44" spans="1:34" hidden="1" x14ac:dyDescent="0.25">
      <c r="A44" s="5">
        <f>IF(B44="","",MAX($A$1:$A43)+1)</f>
        <v>43</v>
      </c>
      <c r="B44" s="8" t="s">
        <v>223</v>
      </c>
      <c r="C44" s="7">
        <f>IF(B44="","",MATCH(B44,Tables!F:F,0))</f>
        <v>2</v>
      </c>
      <c r="D44" s="3" t="str" cm="1">
        <f t="array" ref="D44">IF(C44="","",IF(ISERROR(C44),"",INDEX(Tables!E:E,C44)))</f>
        <v>crinst</v>
      </c>
      <c r="E44" t="s">
        <v>218</v>
      </c>
      <c r="F44" s="1" t="str">
        <f t="shared" si="1"/>
        <v>crinstSystemIdx</v>
      </c>
      <c r="G44" t="s">
        <v>243</v>
      </c>
      <c r="H44" s="17">
        <v>5</v>
      </c>
      <c r="J44" s="2" t="s">
        <v>46</v>
      </c>
      <c r="K44" s="2" t="s">
        <v>46</v>
      </c>
      <c r="L44" s="2" t="s">
        <v>46</v>
      </c>
      <c r="N44" s="2" t="s">
        <v>46</v>
      </c>
      <c r="P44" s="2" t="s">
        <v>46</v>
      </c>
      <c r="S44" t="s">
        <v>129</v>
      </c>
      <c r="V44" s="1" t="str">
        <f t="shared" si="7"/>
        <v/>
      </c>
      <c r="W44" s="53" t="str">
        <f t="shared" si="8"/>
        <v>typeint_size5_unsigned</v>
      </c>
      <c r="X44" s="53" t="str">
        <f t="shared" si="0"/>
        <v/>
      </c>
      <c r="Y44" s="53">
        <f t="shared" si="9"/>
        <v>0</v>
      </c>
      <c r="Z44" s="7">
        <f>IF($B44="",0,INDEX(Tables!$B:$B,MATCH($B44,Tables!$F:$F,0)))</f>
        <v>1</v>
      </c>
      <c r="AA44" s="7" t="str">
        <f>IF($T44="","",INDEX(Tables!$B:$B,MATCH($T44,Tables!$F:$F,0)))</f>
        <v/>
      </c>
      <c r="AB44" s="7">
        <f t="shared" si="4"/>
        <v>0</v>
      </c>
      <c r="AC44" s="7">
        <f t="shared" si="5"/>
        <v>0</v>
      </c>
      <c r="AD44" s="54">
        <f t="shared" si="6"/>
        <v>0</v>
      </c>
      <c r="AE44" s="2" t="s">
        <v>107</v>
      </c>
      <c r="AF44" t="s">
        <v>414</v>
      </c>
    </row>
    <row r="45" spans="1:34" x14ac:dyDescent="0.25">
      <c r="A45" s="5">
        <f>IF(B45="","",MAX($A$1:$A44)+1)</f>
        <v>44</v>
      </c>
      <c r="B45" s="8" t="s">
        <v>223</v>
      </c>
      <c r="C45" s="7">
        <f>IF(B45="","",MATCH(B45,Tables!F:F,0))</f>
        <v>2</v>
      </c>
      <c r="D45" s="3" t="str" cm="1">
        <f t="array" ref="D45">IF(C45="","",IF(ISERROR(C45),"",INDEX(Tables!E:E,C45)))</f>
        <v>crinst</v>
      </c>
      <c r="E45" t="s">
        <v>125</v>
      </c>
      <c r="F45" s="1" t="str">
        <f t="shared" si="1"/>
        <v>crinstUF</v>
      </c>
      <c r="G45" t="s">
        <v>77</v>
      </c>
      <c r="H45"/>
      <c r="I45"/>
      <c r="R45" s="2" t="s">
        <v>118</v>
      </c>
      <c r="S45" t="s">
        <v>130</v>
      </c>
      <c r="V45" s="1" t="str">
        <f t="shared" si="7"/>
        <v/>
      </c>
      <c r="W45" s="53" t="str">
        <f t="shared" si="8"/>
        <v>typetext_size</v>
      </c>
      <c r="X45" s="53" t="str">
        <f t="shared" si="0"/>
        <v/>
      </c>
      <c r="Y45" s="53">
        <f t="shared" si="9"/>
        <v>0</v>
      </c>
      <c r="Z45" s="7">
        <f>IF($B45="",0,INDEX(Tables!$B:$B,MATCH($B45,Tables!$F:$F,0)))</f>
        <v>1</v>
      </c>
      <c r="AA45" s="7" t="str">
        <f>IF($T45="","",INDEX(Tables!$B:$B,MATCH($T45,Tables!$F:$F,0)))</f>
        <v/>
      </c>
      <c r="AB45" s="7">
        <f t="shared" si="4"/>
        <v>0</v>
      </c>
      <c r="AC45" s="7">
        <f t="shared" si="5"/>
        <v>0</v>
      </c>
      <c r="AD45" s="54">
        <f t="shared" si="6"/>
        <v>0</v>
      </c>
      <c r="AE45" s="2" t="s">
        <v>108</v>
      </c>
      <c r="AF45" t="s">
        <v>436</v>
      </c>
      <c r="AH45" s="2" t="s">
        <v>559</v>
      </c>
    </row>
    <row r="46" spans="1:34" x14ac:dyDescent="0.25">
      <c r="A46" s="5">
        <f>IF(B46="","",MAX($A$1:$A45)+1)</f>
        <v>45</v>
      </c>
      <c r="B46" s="8" t="s">
        <v>223</v>
      </c>
      <c r="C46" s="7">
        <f>IF(B46="","",MATCH(B46,Tables!F:F,0))</f>
        <v>2</v>
      </c>
      <c r="D46" s="3" t="str" cm="1">
        <f t="array" ref="D46">IF(C46="","",IF(ISERROR(C46),"",INDEX(Tables!E:E,C46)))</f>
        <v>crinst</v>
      </c>
      <c r="E46" t="s">
        <v>363</v>
      </c>
      <c r="F46" s="1" t="str">
        <f t="shared" si="1"/>
        <v>crinstAdminstration</v>
      </c>
      <c r="G46" t="s">
        <v>77</v>
      </c>
      <c r="H46"/>
      <c r="I46"/>
      <c r="R46" s="2" t="s">
        <v>118</v>
      </c>
      <c r="S46" t="s">
        <v>131</v>
      </c>
      <c r="V46" s="1" t="str">
        <f t="shared" si="7"/>
        <v/>
      </c>
      <c r="W46" s="53" t="str">
        <f t="shared" si="8"/>
        <v>typetext_size</v>
      </c>
      <c r="X46" s="53" t="str">
        <f t="shared" si="0"/>
        <v/>
      </c>
      <c r="Y46" s="53">
        <f t="shared" si="9"/>
        <v>0</v>
      </c>
      <c r="Z46" s="7">
        <f>IF($B46="",0,INDEX(Tables!$B:$B,MATCH($B46,Tables!$F:$F,0)))</f>
        <v>1</v>
      </c>
      <c r="AA46" s="7" t="str">
        <f>IF($T46="","",INDEX(Tables!$B:$B,MATCH($T46,Tables!$F:$F,0)))</f>
        <v/>
      </c>
      <c r="AB46" s="7">
        <f t="shared" si="4"/>
        <v>0</v>
      </c>
      <c r="AC46" s="7">
        <f t="shared" si="5"/>
        <v>0</v>
      </c>
      <c r="AD46" s="54">
        <f t="shared" si="6"/>
        <v>0</v>
      </c>
      <c r="AE46" s="2" t="s">
        <v>108</v>
      </c>
      <c r="AF46" t="s">
        <v>446</v>
      </c>
      <c r="AG46" s="8" t="s">
        <v>500</v>
      </c>
      <c r="AH46" s="2" t="s">
        <v>560</v>
      </c>
    </row>
    <row r="47" spans="1:34" hidden="1" x14ac:dyDescent="0.25">
      <c r="A47" s="5">
        <f>IF(B47="","",MAX($A$1:$A46)+1)</f>
        <v>46</v>
      </c>
      <c r="B47" s="8" t="s">
        <v>223</v>
      </c>
      <c r="C47" s="7">
        <f>IF(B47="","",MATCH(B47,Tables!F:F,0))</f>
        <v>2</v>
      </c>
      <c r="D47" s="3" t="str" cm="1">
        <f t="array" ref="D47">IF(C47="","",IF(ISERROR(C47),"",INDEX(Tables!E:E,C47)))</f>
        <v>crinst</v>
      </c>
      <c r="E47" t="s">
        <v>126</v>
      </c>
      <c r="F47" s="1" t="str">
        <f t="shared" si="1"/>
        <v>crinstInitial</v>
      </c>
      <c r="G47" t="s">
        <v>248</v>
      </c>
      <c r="H47" s="17">
        <v>45</v>
      </c>
      <c r="K47" s="2" t="s">
        <v>239</v>
      </c>
      <c r="S47" t="s">
        <v>132</v>
      </c>
      <c r="V47" s="1" t="str">
        <f t="shared" si="7"/>
        <v/>
      </c>
      <c r="W47" s="53" t="str">
        <f t="shared" si="8"/>
        <v>typevarchar_size45</v>
      </c>
      <c r="X47" s="53" t="str">
        <f t="shared" si="0"/>
        <v/>
      </c>
      <c r="Y47" s="53">
        <f t="shared" si="9"/>
        <v>0</v>
      </c>
      <c r="Z47" s="7">
        <f>IF($B47="",0,INDEX(Tables!$B:$B,MATCH($B47,Tables!$F:$F,0)))</f>
        <v>1</v>
      </c>
      <c r="AA47" s="7" t="str">
        <f>IF($T47="","",INDEX(Tables!$B:$B,MATCH($T47,Tables!$F:$F,0)))</f>
        <v/>
      </c>
      <c r="AB47" s="7">
        <f t="shared" si="4"/>
        <v>0</v>
      </c>
      <c r="AC47" s="7">
        <f t="shared" si="5"/>
        <v>0</v>
      </c>
      <c r="AD47" s="54">
        <f t="shared" si="6"/>
        <v>0</v>
      </c>
      <c r="AE47" s="2" t="s">
        <v>108</v>
      </c>
      <c r="AF47" t="s">
        <v>447</v>
      </c>
    </row>
    <row r="48" spans="1:34" x14ac:dyDescent="0.25">
      <c r="A48" s="5">
        <f>IF(B48="","",MAX($A$1:$A47)+1)</f>
        <v>47</v>
      </c>
      <c r="B48" s="8" t="s">
        <v>223</v>
      </c>
      <c r="C48" s="7">
        <f>IF(B48="","",MATCH(B48,Tables!F:F,0))</f>
        <v>2</v>
      </c>
      <c r="D48" s="3" t="str" cm="1">
        <f t="array" ref="D48">IF(C48="","",IF(ISERROR(C48),"",INDEX(Tables!E:E,C48)))</f>
        <v>crinst</v>
      </c>
      <c r="E48" t="s">
        <v>127</v>
      </c>
      <c r="F48" s="1" t="str">
        <f t="shared" si="1"/>
        <v>crinstName</v>
      </c>
      <c r="G48" t="s">
        <v>77</v>
      </c>
      <c r="H48"/>
      <c r="I48"/>
      <c r="K48" s="2" t="s">
        <v>46</v>
      </c>
      <c r="S48" t="s">
        <v>128</v>
      </c>
      <c r="V48" s="1" t="str">
        <f t="shared" si="7"/>
        <v/>
      </c>
      <c r="W48" s="53" t="str">
        <f t="shared" si="8"/>
        <v>typetext_size</v>
      </c>
      <c r="X48" s="53" t="str">
        <f t="shared" si="0"/>
        <v/>
      </c>
      <c r="Y48" s="53">
        <f t="shared" si="9"/>
        <v>0</v>
      </c>
      <c r="Z48" s="7">
        <f>IF($B48="",0,INDEX(Tables!$B:$B,MATCH($B48,Tables!$F:$F,0)))</f>
        <v>1</v>
      </c>
      <c r="AA48" s="7" t="str">
        <f>IF($T48="","",INDEX(Tables!$B:$B,MATCH($T48,Tables!$F:$F,0)))</f>
        <v/>
      </c>
      <c r="AB48" s="7">
        <f t="shared" si="4"/>
        <v>0</v>
      </c>
      <c r="AC48" s="7">
        <f t="shared" si="5"/>
        <v>0</v>
      </c>
      <c r="AD48" s="54">
        <f t="shared" si="6"/>
        <v>0</v>
      </c>
      <c r="AE48" s="2" t="s">
        <v>108</v>
      </c>
      <c r="AF48" t="s">
        <v>425</v>
      </c>
      <c r="AH48" s="2" t="s">
        <v>559</v>
      </c>
    </row>
    <row r="49" spans="1:34" hidden="1" x14ac:dyDescent="0.25">
      <c r="A49" s="5">
        <f>IF(B49="","",MAX($A$1:$A48)+1)</f>
        <v>48</v>
      </c>
      <c r="B49" s="8" t="s">
        <v>223</v>
      </c>
      <c r="C49" s="7">
        <f>IF(B49="","",MATCH(B49,Tables!F:F,0))</f>
        <v>2</v>
      </c>
      <c r="D49" s="3" t="str" cm="1">
        <f t="array" ref="D49">IF(C49="","",IF(ISERROR(C49),"",INDEX(Tables!E:E,C49)))</f>
        <v>crinst</v>
      </c>
      <c r="E49" t="s">
        <v>110</v>
      </c>
      <c r="F49" s="1" t="str">
        <f t="shared" si="1"/>
        <v>crinstSystemActive</v>
      </c>
      <c r="G49" t="s">
        <v>245</v>
      </c>
      <c r="H49" s="17">
        <v>1</v>
      </c>
      <c r="R49" s="2" t="s">
        <v>116</v>
      </c>
      <c r="S49" t="s">
        <v>119</v>
      </c>
      <c r="V49" s="1" t="str">
        <f t="shared" si="7"/>
        <v/>
      </c>
      <c r="W49" s="53" t="str">
        <f t="shared" si="8"/>
        <v>typebit_size1</v>
      </c>
      <c r="X49" s="53" t="str">
        <f t="shared" si="0"/>
        <v/>
      </c>
      <c r="Y49" s="53">
        <f t="shared" si="9"/>
        <v>0</v>
      </c>
      <c r="Z49" s="7">
        <f>IF($B49="",0,INDEX(Tables!$B:$B,MATCH($B49,Tables!$F:$F,0)))</f>
        <v>1</v>
      </c>
      <c r="AA49" s="7" t="str">
        <f>IF($T49="","",INDEX(Tables!$B:$B,MATCH($T49,Tables!$F:$F,0)))</f>
        <v/>
      </c>
      <c r="AB49" s="7">
        <f t="shared" si="4"/>
        <v>0</v>
      </c>
      <c r="AC49" s="7">
        <f t="shared" si="5"/>
        <v>0</v>
      </c>
      <c r="AD49" s="54">
        <f t="shared" si="6"/>
        <v>0</v>
      </c>
      <c r="AE49" s="2" t="s">
        <v>115</v>
      </c>
      <c r="AF49" t="s">
        <v>119</v>
      </c>
    </row>
    <row r="50" spans="1:34" hidden="1" x14ac:dyDescent="0.25">
      <c r="A50" s="5">
        <f>IF(B50="","",MAX($A$1:$A49)+1)</f>
        <v>49</v>
      </c>
      <c r="B50" s="8" t="s">
        <v>223</v>
      </c>
      <c r="C50" s="7">
        <f>IF(B50="","",MATCH(B50,Tables!F:F,0))</f>
        <v>2</v>
      </c>
      <c r="D50" s="3" t="str" cm="1">
        <f t="array" ref="D50">IF(C50="","",IF(ISERROR(C50),"",INDEX(Tables!E:E,C50)))</f>
        <v>crinst</v>
      </c>
      <c r="E50" t="s">
        <v>111</v>
      </c>
      <c r="F50" s="1" t="str">
        <f t="shared" si="1"/>
        <v>crinstSystemCreationDt</v>
      </c>
      <c r="G50" t="s">
        <v>297</v>
      </c>
      <c r="H50"/>
      <c r="I50"/>
      <c r="R50" s="2" t="s">
        <v>117</v>
      </c>
      <c r="S50" t="s">
        <v>120</v>
      </c>
      <c r="V50" s="1" t="str">
        <f t="shared" si="7"/>
        <v/>
      </c>
      <c r="W50" s="53" t="str">
        <f t="shared" si="8"/>
        <v>typeDATETIME_size</v>
      </c>
      <c r="X50" s="53" t="str">
        <f t="shared" si="0"/>
        <v/>
      </c>
      <c r="Y50" s="53">
        <f t="shared" si="9"/>
        <v>0</v>
      </c>
      <c r="Z50" s="7">
        <f>IF($B50="",0,INDEX(Tables!$B:$B,MATCH($B50,Tables!$F:$F,0)))</f>
        <v>1</v>
      </c>
      <c r="AA50" s="7" t="str">
        <f>IF($T50="","",INDEX(Tables!$B:$B,MATCH($T50,Tables!$F:$F,0)))</f>
        <v/>
      </c>
      <c r="AB50" s="7">
        <f t="shared" si="4"/>
        <v>0</v>
      </c>
      <c r="AC50" s="7">
        <f t="shared" si="5"/>
        <v>0</v>
      </c>
      <c r="AD50" s="54">
        <f t="shared" si="6"/>
        <v>0</v>
      </c>
      <c r="AE50" s="2" t="s">
        <v>109</v>
      </c>
      <c r="AF50" t="s">
        <v>120</v>
      </c>
    </row>
    <row r="51" spans="1:34" hidden="1" x14ac:dyDescent="0.25">
      <c r="A51" s="5">
        <f>IF(B51="","",MAX($A$1:$A50)+1)</f>
        <v>50</v>
      </c>
      <c r="B51" s="8" t="s">
        <v>223</v>
      </c>
      <c r="C51" s="7">
        <f>IF(B51="","",MATCH(B51,Tables!F:F,0))</f>
        <v>2</v>
      </c>
      <c r="D51" s="3" t="str" cm="1">
        <f t="array" ref="D51">IF(C51="","",IF(ISERROR(C51),"",INDEX(Tables!E:E,C51)))</f>
        <v>crinst</v>
      </c>
      <c r="E51" t="s">
        <v>112</v>
      </c>
      <c r="F51" s="1" t="str">
        <f t="shared" si="1"/>
        <v>crinstSystemCreationID</v>
      </c>
      <c r="G51" t="s">
        <v>243</v>
      </c>
      <c r="H51" s="17">
        <v>5</v>
      </c>
      <c r="K51" s="2" t="s">
        <v>46</v>
      </c>
      <c r="N51" s="2" t="s">
        <v>46</v>
      </c>
      <c r="S51" t="s">
        <v>121</v>
      </c>
      <c r="T51" s="8" t="s">
        <v>228</v>
      </c>
      <c r="U51" s="8" t="s">
        <v>232</v>
      </c>
      <c r="V51" s="1" t="str">
        <f t="shared" si="7"/>
        <v>FK_crinstSystemCreationID_usrSystemIdx</v>
      </c>
      <c r="W51" s="53" t="str">
        <f t="shared" si="8"/>
        <v>typeint_size5_unsigned</v>
      </c>
      <c r="X51" s="53" t="str">
        <f t="shared" si="0"/>
        <v>typeint_size5_unsigned</v>
      </c>
      <c r="Y51" s="53">
        <f t="shared" si="9"/>
        <v>0</v>
      </c>
      <c r="Z51" s="7">
        <f>IF($B51="",0,INDEX(Tables!$B:$B,MATCH($B51,Tables!$F:$F,0)))</f>
        <v>1</v>
      </c>
      <c r="AA51" s="7">
        <f>IF($T51="","",INDEX(Tables!$B:$B,MATCH($T51,Tables!$F:$F,0)))</f>
        <v>0</v>
      </c>
      <c r="AB51" s="7">
        <f t="shared" si="4"/>
        <v>0</v>
      </c>
      <c r="AC51" s="7">
        <f t="shared" si="5"/>
        <v>0</v>
      </c>
      <c r="AD51" s="54">
        <f t="shared" si="6"/>
        <v>0</v>
      </c>
      <c r="AE51" s="2" t="s">
        <v>107</v>
      </c>
      <c r="AF51" t="s">
        <v>444</v>
      </c>
    </row>
    <row r="52" spans="1:34" hidden="1" x14ac:dyDescent="0.25">
      <c r="A52" s="5">
        <f>IF(B52="","",MAX($A$1:$A51)+1)</f>
        <v>51</v>
      </c>
      <c r="B52" s="8" t="s">
        <v>223</v>
      </c>
      <c r="C52" s="7">
        <f>IF(B52="","",MATCH(B52,Tables!F:F,0))</f>
        <v>2</v>
      </c>
      <c r="D52" s="3" t="str" cm="1">
        <f t="array" ref="D52">IF(C52="","",IF(ISERROR(C52),"",INDEX(Tables!E:E,C52)))</f>
        <v>crinst</v>
      </c>
      <c r="E52" t="s">
        <v>113</v>
      </c>
      <c r="F52" s="1" t="str">
        <f t="shared" si="1"/>
        <v>crinstSystemLastUpdateDt</v>
      </c>
      <c r="G52" t="s">
        <v>297</v>
      </c>
      <c r="H52"/>
      <c r="I52"/>
      <c r="R52" s="2" t="s">
        <v>118</v>
      </c>
      <c r="S52" t="s">
        <v>122</v>
      </c>
      <c r="V52" s="1" t="str">
        <f t="shared" si="7"/>
        <v/>
      </c>
      <c r="W52" s="53" t="str">
        <f t="shared" si="8"/>
        <v>typeDATETIME_size</v>
      </c>
      <c r="X52" s="53" t="str">
        <f t="shared" si="0"/>
        <v/>
      </c>
      <c r="Y52" s="53">
        <f t="shared" si="9"/>
        <v>0</v>
      </c>
      <c r="Z52" s="7">
        <f>IF($B52="",0,INDEX(Tables!$B:$B,MATCH($B52,Tables!$F:$F,0)))</f>
        <v>1</v>
      </c>
      <c r="AA52" s="7" t="str">
        <f>IF($T52="","",INDEX(Tables!$B:$B,MATCH($T52,Tables!$F:$F,0)))</f>
        <v/>
      </c>
      <c r="AB52" s="7">
        <f t="shared" si="4"/>
        <v>0</v>
      </c>
      <c r="AC52" s="7">
        <f t="shared" si="5"/>
        <v>0</v>
      </c>
      <c r="AD52" s="54">
        <f t="shared" si="6"/>
        <v>0</v>
      </c>
      <c r="AE52" s="2" t="s">
        <v>109</v>
      </c>
      <c r="AF52" t="s">
        <v>445</v>
      </c>
    </row>
    <row r="53" spans="1:34" hidden="1" x14ac:dyDescent="0.25">
      <c r="A53" s="5">
        <f>IF(B53="","",MAX($A$1:$A52)+1)</f>
        <v>52</v>
      </c>
      <c r="B53" s="8" t="s">
        <v>223</v>
      </c>
      <c r="C53" s="7">
        <f>IF(B53="","",MATCH(B53,Tables!F:F,0))</f>
        <v>2</v>
      </c>
      <c r="D53" s="3" t="str" cm="1">
        <f t="array" ref="D53">IF(C53="","",IF(ISERROR(C53),"",INDEX(Tables!E:E,C53)))</f>
        <v>crinst</v>
      </c>
      <c r="E53" t="s">
        <v>114</v>
      </c>
      <c r="F53" s="1" t="str">
        <f t="shared" si="1"/>
        <v>crinstSystemLastUpdateID</v>
      </c>
      <c r="G53" t="s">
        <v>243</v>
      </c>
      <c r="H53" s="17">
        <v>5</v>
      </c>
      <c r="N53" s="2" t="s">
        <v>46</v>
      </c>
      <c r="R53" s="2" t="s">
        <v>118</v>
      </c>
      <c r="S53" t="s">
        <v>123</v>
      </c>
      <c r="T53" s="8" t="s">
        <v>228</v>
      </c>
      <c r="U53" s="8" t="s">
        <v>232</v>
      </c>
      <c r="V53" s="1" t="str">
        <f t="shared" si="7"/>
        <v>FK_crinstSystemLastUpdateID_usrSystemIdx</v>
      </c>
      <c r="W53" s="53" t="str">
        <f t="shared" si="8"/>
        <v>typeint_size5_unsigned</v>
      </c>
      <c r="X53" s="53" t="str">
        <f t="shared" si="0"/>
        <v>typeint_size5_unsigned</v>
      </c>
      <c r="Y53" s="53">
        <f t="shared" si="9"/>
        <v>0</v>
      </c>
      <c r="Z53" s="7">
        <f>IF($B53="",0,INDEX(Tables!$B:$B,MATCH($B53,Tables!$F:$F,0)))</f>
        <v>1</v>
      </c>
      <c r="AA53" s="7">
        <f>IF($T53="","",INDEX(Tables!$B:$B,MATCH($T53,Tables!$F:$F,0)))</f>
        <v>0</v>
      </c>
      <c r="AB53" s="7">
        <f t="shared" si="4"/>
        <v>0</v>
      </c>
      <c r="AC53" s="7">
        <f t="shared" si="5"/>
        <v>0</v>
      </c>
      <c r="AD53" s="54">
        <f t="shared" si="6"/>
        <v>0</v>
      </c>
      <c r="AE53" s="2" t="s">
        <v>107</v>
      </c>
      <c r="AF53" t="s">
        <v>443</v>
      </c>
    </row>
    <row r="54" spans="1:34" hidden="1" x14ac:dyDescent="0.25">
      <c r="A54" s="5">
        <f>IF(B54="","",MAX($A$1:$A53)+1)</f>
        <v>53</v>
      </c>
      <c r="B54" s="8" t="s">
        <v>224</v>
      </c>
      <c r="C54" s="7">
        <f>IF(B54="","",MATCH(B54,Tables!F:F,0))</f>
        <v>5</v>
      </c>
      <c r="D54" s="3" t="str" cm="1">
        <f t="array" ref="D54">IF(C54="","",IF(ISERROR(C54),"",INDEX(Tables!E:E,C54)))</f>
        <v>ordr</v>
      </c>
      <c r="E54" t="s">
        <v>218</v>
      </c>
      <c r="F54" s="1" t="str">
        <f t="shared" si="1"/>
        <v>ordrSystemIdx</v>
      </c>
      <c r="G54" t="s">
        <v>243</v>
      </c>
      <c r="H54" s="17">
        <v>10</v>
      </c>
      <c r="J54" s="2" t="s">
        <v>46</v>
      </c>
      <c r="K54" s="2" t="s">
        <v>46</v>
      </c>
      <c r="L54" s="2" t="s">
        <v>46</v>
      </c>
      <c r="N54" s="2" t="s">
        <v>46</v>
      </c>
      <c r="P54" s="2" t="s">
        <v>46</v>
      </c>
      <c r="S54" t="s">
        <v>133</v>
      </c>
      <c r="V54" s="1" t="str">
        <f t="shared" si="7"/>
        <v/>
      </c>
      <c r="W54" s="53" t="str">
        <f t="shared" si="8"/>
        <v>typeint_size10_unsigned</v>
      </c>
      <c r="X54" s="53" t="str">
        <f t="shared" si="0"/>
        <v/>
      </c>
      <c r="Y54" s="53">
        <f t="shared" si="9"/>
        <v>0</v>
      </c>
      <c r="Z54" s="7">
        <f>IF($B54="",0,INDEX(Tables!$B:$B,MATCH($B54,Tables!$F:$F,0)))</f>
        <v>12</v>
      </c>
      <c r="AA54" s="7" t="str">
        <f>IF($T54="","",INDEX(Tables!$B:$B,MATCH($T54,Tables!$F:$F,0)))</f>
        <v/>
      </c>
      <c r="AB54" s="7">
        <f t="shared" si="4"/>
        <v>0</v>
      </c>
      <c r="AC54" s="7">
        <f t="shared" si="5"/>
        <v>0</v>
      </c>
      <c r="AD54" s="54">
        <f t="shared" si="6"/>
        <v>0</v>
      </c>
      <c r="AE54" s="2" t="s">
        <v>107</v>
      </c>
      <c r="AF54" t="s">
        <v>414</v>
      </c>
    </row>
    <row r="55" spans="1:34" x14ac:dyDescent="0.25">
      <c r="A55" s="5">
        <f>IF(B55="","",MAX($A$1:$A54)+1)</f>
        <v>54</v>
      </c>
      <c r="B55" s="8" t="s">
        <v>224</v>
      </c>
      <c r="C55" s="7">
        <f>IF(B55="","",MATCH(B55,Tables!F:F,0))</f>
        <v>5</v>
      </c>
      <c r="D55" s="3" t="str" cm="1">
        <f t="array" ref="D55">IF(C55="","",IF(ISERROR(C55),"",INDEX(Tables!E:E,C55)))</f>
        <v>ordr</v>
      </c>
      <c r="E55" t="s">
        <v>134</v>
      </c>
      <c r="F55" s="1" t="str">
        <f t="shared" si="1"/>
        <v>ordrStatus</v>
      </c>
      <c r="G55" t="s">
        <v>243</v>
      </c>
      <c r="H55" s="17">
        <v>2</v>
      </c>
      <c r="K55" s="2" t="s">
        <v>46</v>
      </c>
      <c r="N55" s="2" t="s">
        <v>46</v>
      </c>
      <c r="S55" t="s">
        <v>249</v>
      </c>
      <c r="T55" s="8" t="s">
        <v>354</v>
      </c>
      <c r="U55" s="8" t="s">
        <v>326</v>
      </c>
      <c r="V55" s="1" t="str">
        <f t="shared" si="7"/>
        <v>FK_ordrStatus_ordrstsSystemIdx</v>
      </c>
      <c r="W55" s="53" t="str">
        <f t="shared" si="8"/>
        <v>typeint_size2_unsigned</v>
      </c>
      <c r="X55" s="53" t="str">
        <f t="shared" si="0"/>
        <v>typeint_size2_unsigned</v>
      </c>
      <c r="Y55" s="53">
        <f t="shared" si="9"/>
        <v>0</v>
      </c>
      <c r="Z55" s="7">
        <f>IF($B55="",0,INDEX(Tables!$B:$B,MATCH($B55,Tables!$F:$F,0)))</f>
        <v>12</v>
      </c>
      <c r="AA55" s="7">
        <f>IF($T55="","",INDEX(Tables!$B:$B,MATCH($T55,Tables!$F:$F,0)))</f>
        <v>11</v>
      </c>
      <c r="AB55" s="7">
        <f t="shared" si="4"/>
        <v>0</v>
      </c>
      <c r="AC55" s="7">
        <f t="shared" si="5"/>
        <v>0</v>
      </c>
      <c r="AD55" s="54">
        <f t="shared" si="6"/>
        <v>0</v>
      </c>
      <c r="AE55" s="2" t="s">
        <v>107</v>
      </c>
      <c r="AF55" t="s">
        <v>134</v>
      </c>
      <c r="AH55" s="2" t="s">
        <v>560</v>
      </c>
    </row>
    <row r="56" spans="1:34" x14ac:dyDescent="0.25">
      <c r="A56" s="5">
        <f>IF(B56="","",MAX($A$1:$A55)+1)</f>
        <v>55</v>
      </c>
      <c r="B56" s="8" t="s">
        <v>224</v>
      </c>
      <c r="C56" s="7">
        <f>IF(B56="","",MATCH(B56,Tables!F:F,0))</f>
        <v>5</v>
      </c>
      <c r="D56" s="3" t="str" cm="1">
        <f t="array" ref="D56">IF(C56="","",IF(ISERROR(C56),"",INDEX(Tables!E:E,C56)))</f>
        <v>ordr</v>
      </c>
      <c r="E56" t="s">
        <v>135</v>
      </c>
      <c r="F56" s="1" t="str">
        <f t="shared" si="1"/>
        <v>ordrStudent</v>
      </c>
      <c r="G56" t="s">
        <v>243</v>
      </c>
      <c r="H56" s="17">
        <v>7</v>
      </c>
      <c r="K56" s="2" t="s">
        <v>46</v>
      </c>
      <c r="N56" s="2" t="s">
        <v>46</v>
      </c>
      <c r="S56" t="s">
        <v>250</v>
      </c>
      <c r="T56" s="8" t="s">
        <v>221</v>
      </c>
      <c r="U56" s="8" t="s">
        <v>233</v>
      </c>
      <c r="V56" s="1" t="str">
        <f t="shared" si="7"/>
        <v>FK_ordrStudent_estdtSystemIdx</v>
      </c>
      <c r="W56" s="53" t="str">
        <f t="shared" si="8"/>
        <v>typeint_size7_unsigned</v>
      </c>
      <c r="X56" s="53" t="str">
        <f t="shared" si="0"/>
        <v>typeint_size7_unsigned</v>
      </c>
      <c r="Y56" s="53">
        <f t="shared" si="9"/>
        <v>0</v>
      </c>
      <c r="Z56" s="7">
        <f>IF($B56="",0,INDEX(Tables!$B:$B,MATCH($B56,Tables!$F:$F,0)))</f>
        <v>12</v>
      </c>
      <c r="AA56" s="7">
        <f>IF($T56="","",INDEX(Tables!$B:$B,MATCH($T56,Tables!$F:$F,0)))</f>
        <v>3</v>
      </c>
      <c r="AB56" s="7">
        <f t="shared" si="4"/>
        <v>0</v>
      </c>
      <c r="AC56" s="7">
        <f t="shared" si="5"/>
        <v>0</v>
      </c>
      <c r="AD56" s="54">
        <f t="shared" si="6"/>
        <v>0</v>
      </c>
      <c r="AE56" s="2" t="s">
        <v>107</v>
      </c>
      <c r="AF56" t="s">
        <v>270</v>
      </c>
      <c r="AH56" s="2" t="s">
        <v>560</v>
      </c>
    </row>
    <row r="57" spans="1:34" hidden="1" x14ac:dyDescent="0.25">
      <c r="A57" s="5">
        <f>IF(B57="","",MAX($A$1:$A56)+1)</f>
        <v>56</v>
      </c>
      <c r="B57" s="8" t="s">
        <v>224</v>
      </c>
      <c r="C57" s="7">
        <f>IF(B57="","",MATCH(B57,Tables!F:F,0))</f>
        <v>5</v>
      </c>
      <c r="D57" s="3" t="str" cm="1">
        <f t="array" ref="D57">IF(C57="","",IF(ISERROR(C57),"",INDEX(Tables!E:E,C57)))</f>
        <v>ordr</v>
      </c>
      <c r="E57" t="s">
        <v>453</v>
      </c>
      <c r="F57" s="1" t="str">
        <f t="shared" si="1"/>
        <v>ordrTotal</v>
      </c>
      <c r="G57" t="s">
        <v>244</v>
      </c>
      <c r="H57" s="17">
        <v>10</v>
      </c>
      <c r="I57" s="17">
        <v>2</v>
      </c>
      <c r="K57" s="2" t="s">
        <v>46</v>
      </c>
      <c r="N57" s="2" t="s">
        <v>46</v>
      </c>
      <c r="S57" t="s">
        <v>252</v>
      </c>
      <c r="V57" s="1" t="str">
        <f t="shared" si="7"/>
        <v/>
      </c>
      <c r="W57" s="53" t="str">
        <f t="shared" si="8"/>
        <v>typedecimal_size10_unsigned</v>
      </c>
      <c r="X57" s="53" t="str">
        <f t="shared" si="0"/>
        <v/>
      </c>
      <c r="Y57" s="53">
        <f t="shared" si="9"/>
        <v>0</v>
      </c>
      <c r="Z57" s="7">
        <f>IF($B57="",0,INDEX(Tables!$B:$B,MATCH($B57,Tables!$F:$F,0)))</f>
        <v>12</v>
      </c>
      <c r="AA57" s="7" t="str">
        <f>IF($T57="","",INDEX(Tables!$B:$B,MATCH($T57,Tables!$F:$F,0)))</f>
        <v/>
      </c>
      <c r="AB57" s="7">
        <f t="shared" si="4"/>
        <v>0</v>
      </c>
      <c r="AC57" s="7">
        <f t="shared" si="5"/>
        <v>0</v>
      </c>
      <c r="AD57" s="54">
        <f t="shared" si="6"/>
        <v>0</v>
      </c>
      <c r="AE57" s="2" t="s">
        <v>193</v>
      </c>
      <c r="AF57" t="s">
        <v>453</v>
      </c>
    </row>
    <row r="58" spans="1:34" x14ac:dyDescent="0.25">
      <c r="A58" s="5">
        <f>IF(B58="","",MAX($A$1:$A57)+1)</f>
        <v>57</v>
      </c>
      <c r="B58" s="8" t="s">
        <v>224</v>
      </c>
      <c r="C58" s="7">
        <f>IF(B58="","",MATCH(B58,Tables!F:F,0))</f>
        <v>5</v>
      </c>
      <c r="D58" s="3" t="str" cm="1">
        <f t="array" ref="D58">IF(C58="","",IF(ISERROR(C58),"",INDEX(Tables!E:E,C58)))</f>
        <v>ordr</v>
      </c>
      <c r="E58" t="s">
        <v>216</v>
      </c>
      <c r="F58" s="1" t="str">
        <f t="shared" si="1"/>
        <v>ordrFinTechAccount</v>
      </c>
      <c r="G58" t="s">
        <v>243</v>
      </c>
      <c r="H58" s="17">
        <v>5</v>
      </c>
      <c r="K58" s="2" t="s">
        <v>46</v>
      </c>
      <c r="N58" s="2" t="s">
        <v>46</v>
      </c>
      <c r="S58" t="s">
        <v>254</v>
      </c>
      <c r="T58" s="8" t="s">
        <v>352</v>
      </c>
      <c r="U58" s="8" t="s">
        <v>236</v>
      </c>
      <c r="V58" s="1" t="str">
        <f t="shared" si="7"/>
        <v>FK_ordrFinTechAccount_fntaccSystemIdx</v>
      </c>
      <c r="W58" s="53" t="str">
        <f t="shared" si="8"/>
        <v>typeint_size5_unsigned</v>
      </c>
      <c r="X58" s="53" t="str">
        <f t="shared" si="0"/>
        <v>typeint_size5_unsigned</v>
      </c>
      <c r="Y58" s="53">
        <f t="shared" si="9"/>
        <v>0</v>
      </c>
      <c r="Z58" s="7">
        <f>IF($B58="",0,INDEX(Tables!$B:$B,MATCH($B58,Tables!$F:$F,0)))</f>
        <v>12</v>
      </c>
      <c r="AA58" s="7">
        <f>IF($T58="","",INDEX(Tables!$B:$B,MATCH($T58,Tables!$F:$F,0)))</f>
        <v>8</v>
      </c>
      <c r="AB58" s="7">
        <f t="shared" si="4"/>
        <v>0</v>
      </c>
      <c r="AC58" s="7">
        <f t="shared" si="5"/>
        <v>0</v>
      </c>
      <c r="AD58" s="54">
        <f t="shared" si="6"/>
        <v>0</v>
      </c>
      <c r="AE58" s="2" t="s">
        <v>107</v>
      </c>
      <c r="AF58" t="s">
        <v>450</v>
      </c>
      <c r="AH58" s="2" t="s">
        <v>560</v>
      </c>
    </row>
    <row r="59" spans="1:34" hidden="1" x14ac:dyDescent="0.25">
      <c r="A59" s="5">
        <f>IF(B59="","",MAX($A$1:$A58)+1)</f>
        <v>58</v>
      </c>
      <c r="B59" s="8" t="s">
        <v>224</v>
      </c>
      <c r="C59" s="7">
        <f>IF(B59="","",MATCH(B59,Tables!F:F,0))</f>
        <v>5</v>
      </c>
      <c r="D59" s="3" t="str" cm="1">
        <f t="array" ref="D59">IF(C59="","",IF(ISERROR(C59),"",INDEX(Tables!E:E,C59)))</f>
        <v>ordr</v>
      </c>
      <c r="E59" t="s">
        <v>110</v>
      </c>
      <c r="F59" s="1" t="str">
        <f t="shared" si="1"/>
        <v>ordrSystemActive</v>
      </c>
      <c r="G59" t="s">
        <v>245</v>
      </c>
      <c r="H59" s="17">
        <v>1</v>
      </c>
      <c r="R59" s="2" t="s">
        <v>116</v>
      </c>
      <c r="S59" t="s">
        <v>119</v>
      </c>
      <c r="V59" s="1" t="str">
        <f t="shared" si="7"/>
        <v/>
      </c>
      <c r="W59" s="53" t="str">
        <f t="shared" si="8"/>
        <v>typebit_size1</v>
      </c>
      <c r="X59" s="53" t="str">
        <f t="shared" si="0"/>
        <v/>
      </c>
      <c r="Y59" s="53">
        <f t="shared" si="9"/>
        <v>0</v>
      </c>
      <c r="Z59" s="7">
        <f>IF($B59="",0,INDEX(Tables!$B:$B,MATCH($B59,Tables!$F:$F,0)))</f>
        <v>12</v>
      </c>
      <c r="AA59" s="7" t="str">
        <f>IF($T59="","",INDEX(Tables!$B:$B,MATCH($T59,Tables!$F:$F,0)))</f>
        <v/>
      </c>
      <c r="AB59" s="7">
        <f t="shared" si="4"/>
        <v>0</v>
      </c>
      <c r="AC59" s="7">
        <f t="shared" si="5"/>
        <v>0</v>
      </c>
      <c r="AD59" s="54">
        <f t="shared" si="6"/>
        <v>0</v>
      </c>
      <c r="AE59" s="2" t="s">
        <v>115</v>
      </c>
      <c r="AF59" t="s">
        <v>119</v>
      </c>
    </row>
    <row r="60" spans="1:34" hidden="1" x14ac:dyDescent="0.25">
      <c r="A60" s="5">
        <f>IF(B60="","",MAX($A$1:$A59)+1)</f>
        <v>59</v>
      </c>
      <c r="B60" s="8" t="s">
        <v>224</v>
      </c>
      <c r="C60" s="7">
        <f>IF(B60="","",MATCH(B60,Tables!F:F,0))</f>
        <v>5</v>
      </c>
      <c r="D60" s="3" t="str" cm="1">
        <f t="array" ref="D60">IF(C60="","",IF(ISERROR(C60),"",INDEX(Tables!E:E,C60)))</f>
        <v>ordr</v>
      </c>
      <c r="E60" t="s">
        <v>111</v>
      </c>
      <c r="F60" s="1" t="str">
        <f t="shared" si="1"/>
        <v>ordrSystemCreationDt</v>
      </c>
      <c r="G60" t="s">
        <v>297</v>
      </c>
      <c r="H60"/>
      <c r="I60"/>
      <c r="R60" s="2" t="s">
        <v>117</v>
      </c>
      <c r="S60" t="s">
        <v>120</v>
      </c>
      <c r="V60" s="1" t="str">
        <f t="shared" si="7"/>
        <v/>
      </c>
      <c r="W60" s="53" t="str">
        <f t="shared" si="8"/>
        <v>typeDATETIME_size</v>
      </c>
      <c r="X60" s="53" t="str">
        <f t="shared" si="0"/>
        <v/>
      </c>
      <c r="Y60" s="53">
        <f t="shared" si="9"/>
        <v>0</v>
      </c>
      <c r="Z60" s="7">
        <f>IF($B60="",0,INDEX(Tables!$B:$B,MATCH($B60,Tables!$F:$F,0)))</f>
        <v>12</v>
      </c>
      <c r="AA60" s="7" t="str">
        <f>IF($T60="","",INDEX(Tables!$B:$B,MATCH($T60,Tables!$F:$F,0)))</f>
        <v/>
      </c>
      <c r="AB60" s="7">
        <f t="shared" si="4"/>
        <v>0</v>
      </c>
      <c r="AC60" s="7">
        <f t="shared" si="5"/>
        <v>0</v>
      </c>
      <c r="AD60" s="54">
        <f t="shared" si="6"/>
        <v>0</v>
      </c>
      <c r="AE60" s="2" t="s">
        <v>109</v>
      </c>
      <c r="AF60" t="s">
        <v>120</v>
      </c>
    </row>
    <row r="61" spans="1:34" hidden="1" x14ac:dyDescent="0.25">
      <c r="A61" s="5">
        <f>IF(B61="","",MAX($A$1:$A60)+1)</f>
        <v>60</v>
      </c>
      <c r="B61" s="8" t="s">
        <v>224</v>
      </c>
      <c r="C61" s="7">
        <f>IF(B61="","",MATCH(B61,Tables!F:F,0))</f>
        <v>5</v>
      </c>
      <c r="D61" s="3" t="str" cm="1">
        <f t="array" ref="D61">IF(C61="","",IF(ISERROR(C61),"",INDEX(Tables!E:E,C61)))</f>
        <v>ordr</v>
      </c>
      <c r="E61" t="s">
        <v>112</v>
      </c>
      <c r="F61" s="1" t="str">
        <f t="shared" si="1"/>
        <v>ordrSystemCreationID</v>
      </c>
      <c r="G61" t="s">
        <v>243</v>
      </c>
      <c r="H61" s="17">
        <v>5</v>
      </c>
      <c r="K61" s="2" t="s">
        <v>46</v>
      </c>
      <c r="N61" s="2" t="s">
        <v>46</v>
      </c>
      <c r="S61" t="s">
        <v>121</v>
      </c>
      <c r="T61" s="8" t="s">
        <v>228</v>
      </c>
      <c r="U61" s="8" t="s">
        <v>232</v>
      </c>
      <c r="V61" s="1" t="str">
        <f t="shared" si="7"/>
        <v>FK_ordrSystemCreationID_usrSystemIdx</v>
      </c>
      <c r="W61" s="53" t="str">
        <f t="shared" si="8"/>
        <v>typeint_size5_unsigned</v>
      </c>
      <c r="X61" s="53" t="str">
        <f t="shared" si="0"/>
        <v>typeint_size5_unsigned</v>
      </c>
      <c r="Y61" s="53">
        <f t="shared" si="9"/>
        <v>0</v>
      </c>
      <c r="Z61" s="7">
        <f>IF($B61="",0,INDEX(Tables!$B:$B,MATCH($B61,Tables!$F:$F,0)))</f>
        <v>12</v>
      </c>
      <c r="AA61" s="7">
        <f>IF($T61="","",INDEX(Tables!$B:$B,MATCH($T61,Tables!$F:$F,0)))</f>
        <v>0</v>
      </c>
      <c r="AB61" s="7">
        <f t="shared" si="4"/>
        <v>0</v>
      </c>
      <c r="AC61" s="7">
        <f t="shared" si="5"/>
        <v>0</v>
      </c>
      <c r="AD61" s="54">
        <f t="shared" si="6"/>
        <v>0</v>
      </c>
      <c r="AE61" s="2" t="s">
        <v>107</v>
      </c>
      <c r="AF61" t="s">
        <v>444</v>
      </c>
    </row>
    <row r="62" spans="1:34" hidden="1" x14ac:dyDescent="0.25">
      <c r="A62" s="5">
        <f>IF(B62="","",MAX($A$1:$A61)+1)</f>
        <v>61</v>
      </c>
      <c r="B62" s="8" t="s">
        <v>224</v>
      </c>
      <c r="C62" s="7">
        <f>IF(B62="","",MATCH(B62,Tables!F:F,0))</f>
        <v>5</v>
      </c>
      <c r="D62" s="3" t="str" cm="1">
        <f t="array" ref="D62">IF(C62="","",IF(ISERROR(C62),"",INDEX(Tables!E:E,C62)))</f>
        <v>ordr</v>
      </c>
      <c r="E62" t="s">
        <v>113</v>
      </c>
      <c r="F62" s="1" t="str">
        <f t="shared" si="1"/>
        <v>ordrSystemLastUpdateDt</v>
      </c>
      <c r="G62" t="s">
        <v>297</v>
      </c>
      <c r="H62"/>
      <c r="I62"/>
      <c r="R62" s="2" t="s">
        <v>118</v>
      </c>
      <c r="S62" t="s">
        <v>122</v>
      </c>
      <c r="V62" s="1" t="str">
        <f t="shared" si="7"/>
        <v/>
      </c>
      <c r="W62" s="53" t="str">
        <f t="shared" si="8"/>
        <v>typeDATETIME_size</v>
      </c>
      <c r="X62" s="53" t="str">
        <f t="shared" si="0"/>
        <v/>
      </c>
      <c r="Y62" s="53">
        <f t="shared" si="9"/>
        <v>0</v>
      </c>
      <c r="Z62" s="7">
        <f>IF($B62="",0,INDEX(Tables!$B:$B,MATCH($B62,Tables!$F:$F,0)))</f>
        <v>12</v>
      </c>
      <c r="AA62" s="7" t="str">
        <f>IF($T62="","",INDEX(Tables!$B:$B,MATCH($T62,Tables!$F:$F,0)))</f>
        <v/>
      </c>
      <c r="AB62" s="7">
        <f t="shared" si="4"/>
        <v>0</v>
      </c>
      <c r="AC62" s="7">
        <f t="shared" si="5"/>
        <v>0</v>
      </c>
      <c r="AD62" s="54">
        <f t="shared" si="6"/>
        <v>0</v>
      </c>
      <c r="AE62" s="2" t="s">
        <v>109</v>
      </c>
      <c r="AF62" t="s">
        <v>445</v>
      </c>
    </row>
    <row r="63" spans="1:34" hidden="1" x14ac:dyDescent="0.25">
      <c r="A63" s="5">
        <f>IF(B63="","",MAX($A$1:$A62)+1)</f>
        <v>62</v>
      </c>
      <c r="B63" s="8" t="s">
        <v>224</v>
      </c>
      <c r="C63" s="7">
        <f>IF(B63="","",MATCH(B63,Tables!F:F,0))</f>
        <v>5</v>
      </c>
      <c r="D63" s="3" t="str" cm="1">
        <f t="array" ref="D63">IF(C63="","",IF(ISERROR(C63),"",INDEX(Tables!E:E,C63)))</f>
        <v>ordr</v>
      </c>
      <c r="E63" t="s">
        <v>114</v>
      </c>
      <c r="F63" s="1" t="str">
        <f t="shared" si="1"/>
        <v>ordrSystemLastUpdateID</v>
      </c>
      <c r="G63" t="s">
        <v>243</v>
      </c>
      <c r="H63" s="17">
        <v>5</v>
      </c>
      <c r="N63" s="2" t="s">
        <v>46</v>
      </c>
      <c r="R63" s="2" t="s">
        <v>118</v>
      </c>
      <c r="S63" t="s">
        <v>123</v>
      </c>
      <c r="T63" s="8" t="s">
        <v>228</v>
      </c>
      <c r="U63" s="8" t="s">
        <v>232</v>
      </c>
      <c r="V63" s="1" t="str">
        <f t="shared" si="7"/>
        <v>FK_ordrSystemLastUpdateID_usrSystemIdx</v>
      </c>
      <c r="W63" s="53" t="str">
        <f t="shared" si="8"/>
        <v>typeint_size5_unsigned</v>
      </c>
      <c r="X63" s="53" t="str">
        <f t="shared" si="0"/>
        <v>typeint_size5_unsigned</v>
      </c>
      <c r="Y63" s="53">
        <f t="shared" si="9"/>
        <v>0</v>
      </c>
      <c r="Z63" s="7">
        <f>IF($B63="",0,INDEX(Tables!$B:$B,MATCH($B63,Tables!$F:$F,0)))</f>
        <v>12</v>
      </c>
      <c r="AA63" s="7">
        <f>IF($T63="","",INDEX(Tables!$B:$B,MATCH($T63,Tables!$F:$F,0)))</f>
        <v>0</v>
      </c>
      <c r="AB63" s="7">
        <f t="shared" si="4"/>
        <v>0</v>
      </c>
      <c r="AC63" s="7">
        <f t="shared" si="5"/>
        <v>0</v>
      </c>
      <c r="AD63" s="54">
        <f t="shared" si="6"/>
        <v>0</v>
      </c>
      <c r="AE63" s="2" t="s">
        <v>107</v>
      </c>
      <c r="AF63" t="s">
        <v>443</v>
      </c>
    </row>
    <row r="64" spans="1:34" hidden="1" x14ac:dyDescent="0.25">
      <c r="A64" s="5">
        <f>IF(B64="","",MAX($A$1:$A63)+1)</f>
        <v>63</v>
      </c>
      <c r="B64" s="8" t="s">
        <v>225</v>
      </c>
      <c r="C64" s="7">
        <f>IF(B64="","",MATCH(B64,Tables!F:F,0))</f>
        <v>13</v>
      </c>
      <c r="D64" s="3" t="str" cm="1">
        <f t="array" ref="D64">IF(C64="","",IF(ISERROR(C64),"",INDEX(Tables!E:E,C64)))</f>
        <v>faq</v>
      </c>
      <c r="E64" t="s">
        <v>218</v>
      </c>
      <c r="F64" s="1" t="str">
        <f t="shared" si="1"/>
        <v>faqSystemIdx</v>
      </c>
      <c r="G64" t="s">
        <v>243</v>
      </c>
      <c r="H64" s="17">
        <v>10</v>
      </c>
      <c r="J64" s="2" t="s">
        <v>46</v>
      </c>
      <c r="K64" s="2" t="s">
        <v>46</v>
      </c>
      <c r="L64" s="2" t="s">
        <v>46</v>
      </c>
      <c r="N64" s="2" t="s">
        <v>46</v>
      </c>
      <c r="P64" s="2" t="s">
        <v>46</v>
      </c>
      <c r="S64" t="s">
        <v>142</v>
      </c>
      <c r="V64" s="1" t="str">
        <f t="shared" si="7"/>
        <v/>
      </c>
      <c r="W64" s="53" t="str">
        <f t="shared" si="8"/>
        <v>typeint_size10_unsigned</v>
      </c>
      <c r="X64" s="53" t="str">
        <f t="shared" si="0"/>
        <v/>
      </c>
      <c r="Y64" s="53">
        <f t="shared" si="9"/>
        <v>0</v>
      </c>
      <c r="Z64" s="7">
        <f>IF($B64="",0,INDEX(Tables!$B:$B,MATCH($B64,Tables!$F:$F,0)))</f>
        <v>5</v>
      </c>
      <c r="AA64" s="7" t="str">
        <f>IF($T64="","",INDEX(Tables!$B:$B,MATCH($T64,Tables!$F:$F,0)))</f>
        <v/>
      </c>
      <c r="AB64" s="7">
        <f t="shared" si="4"/>
        <v>0</v>
      </c>
      <c r="AC64" s="7">
        <f t="shared" si="5"/>
        <v>0</v>
      </c>
      <c r="AD64" s="54">
        <f t="shared" si="6"/>
        <v>0</v>
      </c>
      <c r="AE64" s="2" t="s">
        <v>107</v>
      </c>
      <c r="AF64" t="s">
        <v>414</v>
      </c>
    </row>
    <row r="65" spans="1:34" x14ac:dyDescent="0.25">
      <c r="A65" s="5">
        <f>IF(B65="","",MAX($A$1:$A64)+1)</f>
        <v>64</v>
      </c>
      <c r="B65" s="8" t="s">
        <v>225</v>
      </c>
      <c r="C65" s="7">
        <f>IF(B65="","",MATCH(B65,Tables!F:F,0))</f>
        <v>13</v>
      </c>
      <c r="D65" s="3" t="str" cm="1">
        <f t="array" ref="D65">IF(C65="","",IF(ISERROR(C65),"",INDEX(Tables!E:E,C65)))</f>
        <v>faq</v>
      </c>
      <c r="E65" t="s">
        <v>139</v>
      </c>
      <c r="F65" s="1" t="str">
        <f t="shared" ref="F65:F127" si="10">IF(E65="","",_xlfn.CONCAT(D65,E65))</f>
        <v>faqType</v>
      </c>
      <c r="G65" t="s">
        <v>248</v>
      </c>
      <c r="H65" s="17">
        <v>30</v>
      </c>
      <c r="K65" s="2" t="s">
        <v>46</v>
      </c>
      <c r="S65" t="s">
        <v>143</v>
      </c>
      <c r="V65" s="1" t="str">
        <f t="shared" si="7"/>
        <v/>
      </c>
      <c r="W65" s="53" t="str">
        <f t="shared" si="8"/>
        <v>typevarchar_size30</v>
      </c>
      <c r="X65" s="53" t="str">
        <f t="shared" si="0"/>
        <v/>
      </c>
      <c r="Y65" s="53">
        <f t="shared" si="9"/>
        <v>0</v>
      </c>
      <c r="Z65" s="7">
        <f>IF($B65="",0,INDEX(Tables!$B:$B,MATCH($B65,Tables!$F:$F,0)))</f>
        <v>5</v>
      </c>
      <c r="AA65" s="7" t="str">
        <f>IF($T65="","",INDEX(Tables!$B:$B,MATCH($T65,Tables!$F:$F,0)))</f>
        <v/>
      </c>
      <c r="AB65" s="7">
        <f t="shared" ref="AB65:AB127" si="11">IF($AA65="",0,IF(ISERROR($AA65),1,IF($Z65&lt;=$AA65,1,0)))</f>
        <v>0</v>
      </c>
      <c r="AC65" s="7">
        <f t="shared" ref="AC65:AC127" si="12">IF(L65="",0,IF(AND(OR(G65="int",G65="varchar",G65="datetime"),H65&lt;&gt;""),0,1))</f>
        <v>0</v>
      </c>
      <c r="AD65" s="54">
        <f t="shared" ref="AD65:AD127" si="13">Y65+AB65+AC65</f>
        <v>0</v>
      </c>
      <c r="AE65" s="2" t="s">
        <v>108</v>
      </c>
      <c r="AF65" t="s">
        <v>451</v>
      </c>
      <c r="AH65" s="2" t="s">
        <v>559</v>
      </c>
    </row>
    <row r="66" spans="1:34" x14ac:dyDescent="0.25">
      <c r="A66" s="5">
        <f>IF(B66="","",MAX($A$1:$A65)+1)</f>
        <v>65</v>
      </c>
      <c r="B66" s="8" t="s">
        <v>225</v>
      </c>
      <c r="C66" s="7">
        <f>IF(B66="","",MATCH(B66,Tables!F:F,0))</f>
        <v>13</v>
      </c>
      <c r="D66" s="3" t="str" cm="1">
        <f t="array" ref="D66">IF(C66="","",IF(ISERROR(C66),"",INDEX(Tables!E:E,C66)))</f>
        <v>faq</v>
      </c>
      <c r="E66" t="s">
        <v>140</v>
      </c>
      <c r="F66" s="1" t="str">
        <f t="shared" si="10"/>
        <v>faqAsk</v>
      </c>
      <c r="G66" t="s">
        <v>298</v>
      </c>
      <c r="H66">
        <v>100</v>
      </c>
      <c r="I66"/>
      <c r="K66" s="2" t="s">
        <v>46</v>
      </c>
      <c r="L66" s="2" t="s">
        <v>239</v>
      </c>
      <c r="S66" t="s">
        <v>144</v>
      </c>
      <c r="V66" s="1" t="str">
        <f t="shared" ref="V66:V129" si="14">IF(OR(T66="",U66=""),"",_xlfn.CONCAT("FK_",F66,"_",U66))</f>
        <v/>
      </c>
      <c r="W66" s="53" t="str">
        <f t="shared" si="8"/>
        <v>typeVARCHAR_size100</v>
      </c>
      <c r="X66" s="53" t="str">
        <f t="shared" ref="X66:X129" si="15">IF(U66="","",INDEX(W:W,MATCH(U66,F:F,)))</f>
        <v/>
      </c>
      <c r="Y66" s="53">
        <f t="shared" si="9"/>
        <v>0</v>
      </c>
      <c r="Z66" s="7">
        <f>IF($B66="",0,INDEX(Tables!$B:$B,MATCH($B66,Tables!$F:$F,0)))</f>
        <v>5</v>
      </c>
      <c r="AA66" s="7" t="str">
        <f>IF($T66="","",INDEX(Tables!$B:$B,MATCH($T66,Tables!$F:$F,0)))</f>
        <v/>
      </c>
      <c r="AB66" s="7">
        <f t="shared" si="11"/>
        <v>0</v>
      </c>
      <c r="AC66" s="7">
        <f t="shared" si="12"/>
        <v>0</v>
      </c>
      <c r="AD66" s="54">
        <f t="shared" si="13"/>
        <v>0</v>
      </c>
      <c r="AE66" s="2" t="s">
        <v>108</v>
      </c>
      <c r="AF66" t="s">
        <v>144</v>
      </c>
      <c r="AH66" s="2" t="s">
        <v>559</v>
      </c>
    </row>
    <row r="67" spans="1:34" hidden="1" x14ac:dyDescent="0.25">
      <c r="A67" s="5">
        <f>IF(B67="","",MAX($A$1:$A66)+1)</f>
        <v>66</v>
      </c>
      <c r="B67" s="8" t="s">
        <v>225</v>
      </c>
      <c r="C67" s="7">
        <f>IF(B67="","",MATCH(B67,Tables!F:F,0))</f>
        <v>13</v>
      </c>
      <c r="D67" s="3" t="str" cm="1">
        <f t="array" ref="D67">IF(C67="","",IF(ISERROR(C67),"",INDEX(Tables!E:E,C67)))</f>
        <v>faq</v>
      </c>
      <c r="E67" t="s">
        <v>141</v>
      </c>
      <c r="F67" s="1" t="str">
        <f t="shared" si="10"/>
        <v>faqAswer</v>
      </c>
      <c r="G67" t="s">
        <v>77</v>
      </c>
      <c r="H67"/>
      <c r="I67"/>
      <c r="K67" s="2" t="s">
        <v>46</v>
      </c>
      <c r="S67" t="s">
        <v>145</v>
      </c>
      <c r="V67" s="1" t="str">
        <f t="shared" si="14"/>
        <v/>
      </c>
      <c r="W67" s="53" t="str">
        <f t="shared" si="8"/>
        <v>typetext_size</v>
      </c>
      <c r="X67" s="53" t="str">
        <f t="shared" si="15"/>
        <v/>
      </c>
      <c r="Y67" s="53">
        <f t="shared" si="9"/>
        <v>0</v>
      </c>
      <c r="Z67" s="7">
        <f>IF($B67="",0,INDEX(Tables!$B:$B,MATCH($B67,Tables!$F:$F,0)))</f>
        <v>5</v>
      </c>
      <c r="AA67" s="7" t="str">
        <f>IF($T67="","",INDEX(Tables!$B:$B,MATCH($T67,Tables!$F:$F,0)))</f>
        <v/>
      </c>
      <c r="AB67" s="7">
        <f t="shared" si="11"/>
        <v>0</v>
      </c>
      <c r="AC67" s="7">
        <f t="shared" si="12"/>
        <v>0</v>
      </c>
      <c r="AD67" s="54">
        <f t="shared" si="13"/>
        <v>0</v>
      </c>
      <c r="AE67" s="2" t="s">
        <v>108</v>
      </c>
      <c r="AF67" t="s">
        <v>145</v>
      </c>
    </row>
    <row r="68" spans="1:34" hidden="1" x14ac:dyDescent="0.25">
      <c r="A68" s="5">
        <f>IF(B68="","",MAX($A$1:$A67)+1)</f>
        <v>67</v>
      </c>
      <c r="B68" s="8" t="s">
        <v>225</v>
      </c>
      <c r="C68" s="7">
        <f>IF(B68="","",MATCH(B68,Tables!F:F,0))</f>
        <v>13</v>
      </c>
      <c r="D68" s="3" t="str" cm="1">
        <f t="array" ref="D68">IF(C68="","",IF(ISERROR(C68),"",INDEX(Tables!E:E,C68)))</f>
        <v>faq</v>
      </c>
      <c r="E68" t="s">
        <v>110</v>
      </c>
      <c r="F68" s="1" t="str">
        <f t="shared" si="10"/>
        <v>faqSystemActive</v>
      </c>
      <c r="G68" t="s">
        <v>245</v>
      </c>
      <c r="H68" s="17">
        <v>1</v>
      </c>
      <c r="R68" s="2" t="s">
        <v>116</v>
      </c>
      <c r="S68" t="s">
        <v>119</v>
      </c>
      <c r="V68" s="1" t="str">
        <f t="shared" si="14"/>
        <v/>
      </c>
      <c r="W68" s="53" t="str">
        <f t="shared" si="8"/>
        <v>typebit_size1</v>
      </c>
      <c r="X68" s="53" t="str">
        <f t="shared" si="15"/>
        <v/>
      </c>
      <c r="Y68" s="53">
        <f t="shared" si="9"/>
        <v>0</v>
      </c>
      <c r="Z68" s="7">
        <f>IF($B68="",0,INDEX(Tables!$B:$B,MATCH($B68,Tables!$F:$F,0)))</f>
        <v>5</v>
      </c>
      <c r="AA68" s="7" t="str">
        <f>IF($T68="","",INDEX(Tables!$B:$B,MATCH($T68,Tables!$F:$F,0)))</f>
        <v/>
      </c>
      <c r="AB68" s="7">
        <f t="shared" si="11"/>
        <v>0</v>
      </c>
      <c r="AC68" s="7">
        <f t="shared" si="12"/>
        <v>0</v>
      </c>
      <c r="AD68" s="54">
        <f t="shared" si="13"/>
        <v>0</v>
      </c>
      <c r="AE68" s="2" t="s">
        <v>115</v>
      </c>
      <c r="AF68" t="s">
        <v>119</v>
      </c>
    </row>
    <row r="69" spans="1:34" hidden="1" x14ac:dyDescent="0.25">
      <c r="A69" s="5">
        <f>IF(B69="","",MAX($A$1:$A68)+1)</f>
        <v>68</v>
      </c>
      <c r="B69" s="8" t="s">
        <v>225</v>
      </c>
      <c r="C69" s="7">
        <f>IF(B69="","",MATCH(B69,Tables!F:F,0))</f>
        <v>13</v>
      </c>
      <c r="D69" s="3" t="str" cm="1">
        <f t="array" ref="D69">IF(C69="","",IF(ISERROR(C69),"",INDEX(Tables!E:E,C69)))</f>
        <v>faq</v>
      </c>
      <c r="E69" t="s">
        <v>111</v>
      </c>
      <c r="F69" s="1" t="str">
        <f t="shared" si="10"/>
        <v>faqSystemCreationDt</v>
      </c>
      <c r="G69" t="s">
        <v>297</v>
      </c>
      <c r="H69"/>
      <c r="I69"/>
      <c r="R69" s="2" t="s">
        <v>117</v>
      </c>
      <c r="S69" t="s">
        <v>120</v>
      </c>
      <c r="V69" s="1" t="str">
        <f t="shared" si="14"/>
        <v/>
      </c>
      <c r="W69" s="53" t="str">
        <f t="shared" si="8"/>
        <v>typeDATETIME_size</v>
      </c>
      <c r="X69" s="53" t="str">
        <f t="shared" si="15"/>
        <v/>
      </c>
      <c r="Y69" s="53">
        <f t="shared" si="9"/>
        <v>0</v>
      </c>
      <c r="Z69" s="7">
        <f>IF($B69="",0,INDEX(Tables!$B:$B,MATCH($B69,Tables!$F:$F,0)))</f>
        <v>5</v>
      </c>
      <c r="AA69" s="7" t="str">
        <f>IF($T69="","",INDEX(Tables!$B:$B,MATCH($T69,Tables!$F:$F,0)))</f>
        <v/>
      </c>
      <c r="AB69" s="7">
        <f t="shared" si="11"/>
        <v>0</v>
      </c>
      <c r="AC69" s="7">
        <f t="shared" si="12"/>
        <v>0</v>
      </c>
      <c r="AD69" s="54">
        <f t="shared" si="13"/>
        <v>0</v>
      </c>
      <c r="AE69" s="2" t="s">
        <v>109</v>
      </c>
      <c r="AF69" t="s">
        <v>120</v>
      </c>
    </row>
    <row r="70" spans="1:34" hidden="1" x14ac:dyDescent="0.25">
      <c r="A70" s="5">
        <f>IF(B70="","",MAX($A$1:$A69)+1)</f>
        <v>69</v>
      </c>
      <c r="B70" s="8" t="s">
        <v>225</v>
      </c>
      <c r="C70" s="7">
        <f>IF(B70="","",MATCH(B70,Tables!F:F,0))</f>
        <v>13</v>
      </c>
      <c r="D70" s="3" t="str" cm="1">
        <f t="array" ref="D70">IF(C70="","",IF(ISERROR(C70),"",INDEX(Tables!E:E,C70)))</f>
        <v>faq</v>
      </c>
      <c r="E70" t="s">
        <v>112</v>
      </c>
      <c r="F70" s="1" t="str">
        <f t="shared" si="10"/>
        <v>faqSystemCreationID</v>
      </c>
      <c r="G70" t="s">
        <v>243</v>
      </c>
      <c r="H70" s="17">
        <v>5</v>
      </c>
      <c r="K70" s="2" t="s">
        <v>46</v>
      </c>
      <c r="N70" s="2" t="s">
        <v>46</v>
      </c>
      <c r="S70" t="s">
        <v>121</v>
      </c>
      <c r="T70" s="8" t="s">
        <v>228</v>
      </c>
      <c r="U70" s="8" t="s">
        <v>232</v>
      </c>
      <c r="V70" s="1" t="str">
        <f t="shared" si="14"/>
        <v>FK_faqSystemCreationID_usrSystemIdx</v>
      </c>
      <c r="W70" s="53" t="str">
        <f t="shared" si="8"/>
        <v>typeint_size5_unsigned</v>
      </c>
      <c r="X70" s="53" t="str">
        <f t="shared" si="15"/>
        <v>typeint_size5_unsigned</v>
      </c>
      <c r="Y70" s="53">
        <f t="shared" si="9"/>
        <v>0</v>
      </c>
      <c r="Z70" s="7">
        <f>IF($B70="",0,INDEX(Tables!$B:$B,MATCH($B70,Tables!$F:$F,0)))</f>
        <v>5</v>
      </c>
      <c r="AA70" s="7">
        <f>IF($T70="","",INDEX(Tables!$B:$B,MATCH($T70,Tables!$F:$F,0)))</f>
        <v>0</v>
      </c>
      <c r="AB70" s="7">
        <f t="shared" si="11"/>
        <v>0</v>
      </c>
      <c r="AC70" s="7">
        <f t="shared" si="12"/>
        <v>0</v>
      </c>
      <c r="AD70" s="54">
        <f t="shared" si="13"/>
        <v>0</v>
      </c>
      <c r="AE70" s="2" t="s">
        <v>107</v>
      </c>
      <c r="AF70" t="s">
        <v>444</v>
      </c>
    </row>
    <row r="71" spans="1:34" hidden="1" x14ac:dyDescent="0.25">
      <c r="A71" s="5">
        <f>IF(B71="","",MAX($A$1:$A70)+1)</f>
        <v>70</v>
      </c>
      <c r="B71" s="8" t="s">
        <v>225</v>
      </c>
      <c r="C71" s="7">
        <f>IF(B71="","",MATCH(B71,Tables!F:F,0))</f>
        <v>13</v>
      </c>
      <c r="D71" s="3" t="str" cm="1">
        <f t="array" ref="D71">IF(C71="","",IF(ISERROR(C71),"",INDEX(Tables!E:E,C71)))</f>
        <v>faq</v>
      </c>
      <c r="E71" t="s">
        <v>113</v>
      </c>
      <c r="F71" s="1" t="str">
        <f t="shared" si="10"/>
        <v>faqSystemLastUpdateDt</v>
      </c>
      <c r="G71" t="s">
        <v>297</v>
      </c>
      <c r="H71"/>
      <c r="I71"/>
      <c r="R71" s="2" t="s">
        <v>118</v>
      </c>
      <c r="S71" t="s">
        <v>122</v>
      </c>
      <c r="V71" s="1" t="str">
        <f t="shared" si="14"/>
        <v/>
      </c>
      <c r="W71" s="53" t="str">
        <f t="shared" si="8"/>
        <v>typeDATETIME_size</v>
      </c>
      <c r="X71" s="53" t="str">
        <f t="shared" si="15"/>
        <v/>
      </c>
      <c r="Y71" s="53">
        <f t="shared" si="9"/>
        <v>0</v>
      </c>
      <c r="Z71" s="7">
        <f>IF($B71="",0,INDEX(Tables!$B:$B,MATCH($B71,Tables!$F:$F,0)))</f>
        <v>5</v>
      </c>
      <c r="AA71" s="7" t="str">
        <f>IF($T71="","",INDEX(Tables!$B:$B,MATCH($T71,Tables!$F:$F,0)))</f>
        <v/>
      </c>
      <c r="AB71" s="7">
        <f t="shared" si="11"/>
        <v>0</v>
      </c>
      <c r="AC71" s="7">
        <f t="shared" si="12"/>
        <v>0</v>
      </c>
      <c r="AD71" s="54">
        <f t="shared" si="13"/>
        <v>0</v>
      </c>
      <c r="AE71" s="2" t="s">
        <v>109</v>
      </c>
      <c r="AF71" t="s">
        <v>445</v>
      </c>
    </row>
    <row r="72" spans="1:34" hidden="1" x14ac:dyDescent="0.25">
      <c r="A72" s="5">
        <f>IF(B72="","",MAX($A$1:$A71)+1)</f>
        <v>71</v>
      </c>
      <c r="B72" s="8" t="s">
        <v>225</v>
      </c>
      <c r="C72" s="7">
        <f>IF(B72="","",MATCH(B72,Tables!F:F,0))</f>
        <v>13</v>
      </c>
      <c r="D72" s="3" t="str" cm="1">
        <f t="array" ref="D72">IF(C72="","",IF(ISERROR(C72),"",INDEX(Tables!E:E,C72)))</f>
        <v>faq</v>
      </c>
      <c r="E72" t="s">
        <v>114</v>
      </c>
      <c r="F72" s="1" t="str">
        <f t="shared" si="10"/>
        <v>faqSystemLastUpdateID</v>
      </c>
      <c r="G72" t="s">
        <v>243</v>
      </c>
      <c r="H72" s="17">
        <v>5</v>
      </c>
      <c r="N72" s="2" t="s">
        <v>46</v>
      </c>
      <c r="R72" s="2" t="s">
        <v>118</v>
      </c>
      <c r="S72" t="s">
        <v>123</v>
      </c>
      <c r="T72" s="8" t="s">
        <v>228</v>
      </c>
      <c r="U72" s="8" t="s">
        <v>232</v>
      </c>
      <c r="V72" s="1" t="str">
        <f t="shared" si="14"/>
        <v>FK_faqSystemLastUpdateID_usrSystemIdx</v>
      </c>
      <c r="W72" s="53" t="str">
        <f t="shared" si="8"/>
        <v>typeint_size5_unsigned</v>
      </c>
      <c r="X72" s="53" t="str">
        <f t="shared" si="15"/>
        <v>typeint_size5_unsigned</v>
      </c>
      <c r="Y72" s="53">
        <f t="shared" si="9"/>
        <v>0</v>
      </c>
      <c r="Z72" s="7">
        <f>IF($B72="",0,INDEX(Tables!$B:$B,MATCH($B72,Tables!$F:$F,0)))</f>
        <v>5</v>
      </c>
      <c r="AA72" s="7">
        <f>IF($T72="","",INDEX(Tables!$B:$B,MATCH($T72,Tables!$F:$F,0)))</f>
        <v>0</v>
      </c>
      <c r="AB72" s="7">
        <f t="shared" si="11"/>
        <v>0</v>
      </c>
      <c r="AC72" s="7">
        <f t="shared" si="12"/>
        <v>0</v>
      </c>
      <c r="AD72" s="54">
        <f t="shared" si="13"/>
        <v>0</v>
      </c>
      <c r="AE72" s="2" t="s">
        <v>107</v>
      </c>
      <c r="AF72" t="s">
        <v>443</v>
      </c>
    </row>
    <row r="73" spans="1:34" hidden="1" x14ac:dyDescent="0.25">
      <c r="A73" s="5">
        <f>IF(B73="","",MAX($A$1:$A72)+1)</f>
        <v>72</v>
      </c>
      <c r="B73" s="8" t="s">
        <v>226</v>
      </c>
      <c r="C73" s="7">
        <f>IF(B73="","",MATCH(B73,Tables!F:F,0))</f>
        <v>18</v>
      </c>
      <c r="D73" s="3" t="str" cm="1">
        <f t="array" ref="D73">IF(C73="","",IF(ISERROR(C73),"",INDEX(Tables!E:E,C73)))</f>
        <v>prdct</v>
      </c>
      <c r="E73" t="s">
        <v>218</v>
      </c>
      <c r="F73" s="1" t="str">
        <f t="shared" si="10"/>
        <v>prdctSystemIdx</v>
      </c>
      <c r="G73" t="s">
        <v>243</v>
      </c>
      <c r="H73" s="17">
        <v>5</v>
      </c>
      <c r="J73" s="2" t="s">
        <v>46</v>
      </c>
      <c r="K73" s="2" t="s">
        <v>46</v>
      </c>
      <c r="L73" s="2" t="s">
        <v>46</v>
      </c>
      <c r="N73" s="2" t="s">
        <v>46</v>
      </c>
      <c r="P73" s="2" t="s">
        <v>46</v>
      </c>
      <c r="S73" t="s">
        <v>147</v>
      </c>
      <c r="V73" s="1" t="str">
        <f t="shared" si="14"/>
        <v/>
      </c>
      <c r="W73" s="53" t="str">
        <f t="shared" ref="W73:W135" si="16">_xlfn.CONCAT("type",G73,"_size",H73,IF(M73="","","_binary"),IF(N73="","","_unsigned"),IF(O73="","","_zeroFill"))</f>
        <v>typeint_size5_unsigned</v>
      </c>
      <c r="X73" s="53" t="str">
        <f t="shared" si="15"/>
        <v/>
      </c>
      <c r="Y73" s="53">
        <f t="shared" ref="Y73:Y135" si="17">IF(X73="",0,IF(ISERROR(X73),1,IF(X73&lt;&gt;W73,1,0)))</f>
        <v>0</v>
      </c>
      <c r="Z73" s="7">
        <f>IF($B73="",0,INDEX(Tables!$B:$B,MATCH($B73,Tables!$F:$F,0)))</f>
        <v>4</v>
      </c>
      <c r="AA73" s="7" t="str">
        <f>IF($T73="","",INDEX(Tables!$B:$B,MATCH($T73,Tables!$F:$F,0)))</f>
        <v/>
      </c>
      <c r="AB73" s="7">
        <f t="shared" si="11"/>
        <v>0</v>
      </c>
      <c r="AC73" s="7">
        <f t="shared" si="12"/>
        <v>0</v>
      </c>
      <c r="AD73" s="54">
        <f t="shared" si="13"/>
        <v>0</v>
      </c>
      <c r="AE73" s="2" t="s">
        <v>107</v>
      </c>
      <c r="AF73" t="s">
        <v>414</v>
      </c>
    </row>
    <row r="74" spans="1:34" x14ac:dyDescent="0.25">
      <c r="A74" s="5">
        <f>IF(B74="","",MAX($A$1:$A73)+1)</f>
        <v>73</v>
      </c>
      <c r="B74" s="8" t="s">
        <v>226</v>
      </c>
      <c r="C74" s="7">
        <f>IF(B74="","",MATCH(B74,Tables!F:F,0))</f>
        <v>18</v>
      </c>
      <c r="D74" s="3" t="str" cm="1">
        <f t="array" ref="D74">IF(C74="","",IF(ISERROR(C74),"",INDEX(Tables!E:E,C74)))</f>
        <v>prdct</v>
      </c>
      <c r="E74" t="s">
        <v>367</v>
      </c>
      <c r="F74" s="1" t="str">
        <f t="shared" si="10"/>
        <v>prdctDescName</v>
      </c>
      <c r="G74" t="s">
        <v>248</v>
      </c>
      <c r="H74">
        <v>100</v>
      </c>
      <c r="I74"/>
      <c r="K74" s="2" t="s">
        <v>46</v>
      </c>
      <c r="L74" s="2" t="s">
        <v>46</v>
      </c>
      <c r="S74" t="s">
        <v>255</v>
      </c>
      <c r="V74" s="1" t="str">
        <f t="shared" si="14"/>
        <v/>
      </c>
      <c r="W74" s="53" t="str">
        <f t="shared" si="16"/>
        <v>typevarchar_size100</v>
      </c>
      <c r="X74" s="53" t="str">
        <f t="shared" si="15"/>
        <v/>
      </c>
      <c r="Y74" s="53">
        <f t="shared" si="17"/>
        <v>0</v>
      </c>
      <c r="Z74" s="7">
        <f>IF($B74="",0,INDEX(Tables!$B:$B,MATCH($B74,Tables!$F:$F,0)))</f>
        <v>4</v>
      </c>
      <c r="AA74" s="7" t="str">
        <f>IF($T74="","",INDEX(Tables!$B:$B,MATCH($T74,Tables!$F:$F,0)))</f>
        <v/>
      </c>
      <c r="AB74" s="7">
        <f t="shared" si="11"/>
        <v>0</v>
      </c>
      <c r="AC74" s="7">
        <f t="shared" si="12"/>
        <v>0</v>
      </c>
      <c r="AD74" s="54">
        <f t="shared" si="13"/>
        <v>0</v>
      </c>
      <c r="AE74" s="2" t="s">
        <v>108</v>
      </c>
      <c r="AF74" t="s">
        <v>47</v>
      </c>
      <c r="AH74" s="2" t="s">
        <v>559</v>
      </c>
    </row>
    <row r="75" spans="1:34" x14ac:dyDescent="0.25">
      <c r="A75" s="5">
        <f>IF(B75="","",MAX($A$1:$A74)+1)</f>
        <v>74</v>
      </c>
      <c r="B75" s="8" t="s">
        <v>226</v>
      </c>
      <c r="C75" s="7">
        <f>IF(B75="","",MATCH(B75,Tables!F:F,0))</f>
        <v>18</v>
      </c>
      <c r="D75" s="3" t="str" cm="1">
        <f t="array" ref="D75">IF(C75="","",IF(ISERROR(C75),"",INDEX(Tables!E:E,C75)))</f>
        <v>prdct</v>
      </c>
      <c r="E75" t="s">
        <v>148</v>
      </c>
      <c r="F75" s="1" t="str">
        <f t="shared" si="10"/>
        <v>prdctYear</v>
      </c>
      <c r="G75" t="s">
        <v>243</v>
      </c>
      <c r="H75" s="17">
        <v>4</v>
      </c>
      <c r="N75" s="2" t="s">
        <v>46</v>
      </c>
      <c r="R75" s="2" t="s">
        <v>118</v>
      </c>
      <c r="S75" t="s">
        <v>256</v>
      </c>
      <c r="V75" s="1" t="str">
        <f t="shared" si="14"/>
        <v/>
      </c>
      <c r="W75" s="53" t="str">
        <f t="shared" si="16"/>
        <v>typeint_size4_unsigned</v>
      </c>
      <c r="X75" s="53" t="str">
        <f t="shared" si="15"/>
        <v/>
      </c>
      <c r="Y75" s="53">
        <f t="shared" si="17"/>
        <v>0</v>
      </c>
      <c r="Z75" s="7">
        <f>IF($B75="",0,INDEX(Tables!$B:$B,MATCH($B75,Tables!$F:$F,0)))</f>
        <v>4</v>
      </c>
      <c r="AA75" s="7" t="str">
        <f>IF($T75="","",INDEX(Tables!$B:$B,MATCH($T75,Tables!$F:$F,0)))</f>
        <v/>
      </c>
      <c r="AB75" s="7">
        <f t="shared" si="11"/>
        <v>0</v>
      </c>
      <c r="AC75" s="7">
        <f t="shared" si="12"/>
        <v>0</v>
      </c>
      <c r="AD75" s="54">
        <f t="shared" si="13"/>
        <v>0</v>
      </c>
      <c r="AE75" s="2" t="s">
        <v>107</v>
      </c>
      <c r="AF75" t="s">
        <v>455</v>
      </c>
      <c r="AH75" s="2" t="s">
        <v>560</v>
      </c>
    </row>
    <row r="76" spans="1:34" hidden="1" x14ac:dyDescent="0.25">
      <c r="A76" s="5">
        <f>IF(B76="","",MAX($A$1:$A75)+1)</f>
        <v>75</v>
      </c>
      <c r="B76" s="8" t="s">
        <v>226</v>
      </c>
      <c r="C76" s="7">
        <f>IF(B76="","",MATCH(B76,Tables!F:F,0))</f>
        <v>18</v>
      </c>
      <c r="D76" s="3" t="str" cm="1">
        <f t="array" ref="D76">IF(C76="","",IF(ISERROR(C76),"",INDEX(Tables!E:E,C76)))</f>
        <v>prdct</v>
      </c>
      <c r="E76" t="s">
        <v>137</v>
      </c>
      <c r="F76" s="1" t="str">
        <f t="shared" si="10"/>
        <v>prdctPrice</v>
      </c>
      <c r="G76" t="s">
        <v>244</v>
      </c>
      <c r="H76" s="17">
        <v>10</v>
      </c>
      <c r="I76" s="17">
        <v>2</v>
      </c>
      <c r="R76" s="2" t="s">
        <v>118</v>
      </c>
      <c r="S76" t="s">
        <v>257</v>
      </c>
      <c r="V76" s="1" t="str">
        <f t="shared" si="14"/>
        <v/>
      </c>
      <c r="W76" s="53" t="str">
        <f t="shared" si="16"/>
        <v>typedecimal_size10</v>
      </c>
      <c r="X76" s="53" t="str">
        <f t="shared" si="15"/>
        <v/>
      </c>
      <c r="Y76" s="53">
        <f t="shared" si="17"/>
        <v>0</v>
      </c>
      <c r="Z76" s="7">
        <f>IF($B76="",0,INDEX(Tables!$B:$B,MATCH($B76,Tables!$F:$F,0)))</f>
        <v>4</v>
      </c>
      <c r="AA76" s="7" t="str">
        <f>IF($T76="","",INDEX(Tables!$B:$B,MATCH($T76,Tables!$F:$F,0)))</f>
        <v/>
      </c>
      <c r="AB76" s="7">
        <f t="shared" si="11"/>
        <v>0</v>
      </c>
      <c r="AC76" s="7">
        <f t="shared" si="12"/>
        <v>0</v>
      </c>
      <c r="AD76" s="54">
        <f t="shared" si="13"/>
        <v>0</v>
      </c>
      <c r="AE76" s="2" t="s">
        <v>193</v>
      </c>
      <c r="AF76" t="s">
        <v>456</v>
      </c>
    </row>
    <row r="77" spans="1:34" hidden="1" x14ac:dyDescent="0.25">
      <c r="A77" s="5">
        <f>IF(B77="","",MAX($A$1:$A76)+1)</f>
        <v>76</v>
      </c>
      <c r="B77" s="8" t="s">
        <v>226</v>
      </c>
      <c r="C77" s="7">
        <f>IF(B77="","",MATCH(B77,Tables!F:F,0))</f>
        <v>18</v>
      </c>
      <c r="D77" s="3" t="str" cm="1">
        <f t="array" ref="D77">IF(C77="","",IF(ISERROR(C77),"",INDEX(Tables!E:E,C77)))</f>
        <v>prdct</v>
      </c>
      <c r="E77" t="s">
        <v>110</v>
      </c>
      <c r="F77" s="1" t="str">
        <f t="shared" si="10"/>
        <v>prdctSystemActive</v>
      </c>
      <c r="G77" t="s">
        <v>245</v>
      </c>
      <c r="H77" s="17">
        <v>1</v>
      </c>
      <c r="R77" s="2" t="s">
        <v>116</v>
      </c>
      <c r="S77" t="s">
        <v>119</v>
      </c>
      <c r="V77" s="1" t="str">
        <f t="shared" si="14"/>
        <v/>
      </c>
      <c r="W77" s="53" t="str">
        <f t="shared" si="16"/>
        <v>typebit_size1</v>
      </c>
      <c r="X77" s="53" t="str">
        <f t="shared" si="15"/>
        <v/>
      </c>
      <c r="Y77" s="53">
        <f t="shared" si="17"/>
        <v>0</v>
      </c>
      <c r="Z77" s="7">
        <f>IF($B77="",0,INDEX(Tables!$B:$B,MATCH($B77,Tables!$F:$F,0)))</f>
        <v>4</v>
      </c>
      <c r="AA77" s="7" t="str">
        <f>IF($T77="","",INDEX(Tables!$B:$B,MATCH($T77,Tables!$F:$F,0)))</f>
        <v/>
      </c>
      <c r="AB77" s="7">
        <f t="shared" si="11"/>
        <v>0</v>
      </c>
      <c r="AC77" s="7">
        <f t="shared" si="12"/>
        <v>0</v>
      </c>
      <c r="AD77" s="54">
        <f t="shared" si="13"/>
        <v>0</v>
      </c>
      <c r="AE77" s="2" t="s">
        <v>115</v>
      </c>
      <c r="AF77" t="s">
        <v>119</v>
      </c>
    </row>
    <row r="78" spans="1:34" hidden="1" x14ac:dyDescent="0.25">
      <c r="A78" s="5">
        <f>IF(B78="","",MAX($A$1:$A77)+1)</f>
        <v>77</v>
      </c>
      <c r="B78" s="8" t="s">
        <v>226</v>
      </c>
      <c r="C78" s="7">
        <f>IF(B78="","",MATCH(B78,Tables!F:F,0))</f>
        <v>18</v>
      </c>
      <c r="D78" s="3" t="str" cm="1">
        <f t="array" ref="D78">IF(C78="","",IF(ISERROR(C78),"",INDEX(Tables!E:E,C78)))</f>
        <v>prdct</v>
      </c>
      <c r="E78" t="s">
        <v>111</v>
      </c>
      <c r="F78" s="1" t="str">
        <f t="shared" si="10"/>
        <v>prdctSystemCreationDt</v>
      </c>
      <c r="G78" t="s">
        <v>297</v>
      </c>
      <c r="H78"/>
      <c r="I78"/>
      <c r="R78" s="2" t="s">
        <v>117</v>
      </c>
      <c r="S78" t="s">
        <v>120</v>
      </c>
      <c r="V78" s="1" t="str">
        <f t="shared" si="14"/>
        <v/>
      </c>
      <c r="W78" s="53" t="str">
        <f t="shared" si="16"/>
        <v>typeDATETIME_size</v>
      </c>
      <c r="X78" s="53" t="str">
        <f t="shared" si="15"/>
        <v/>
      </c>
      <c r="Y78" s="53">
        <f t="shared" si="17"/>
        <v>0</v>
      </c>
      <c r="Z78" s="7">
        <f>IF($B78="",0,INDEX(Tables!$B:$B,MATCH($B78,Tables!$F:$F,0)))</f>
        <v>4</v>
      </c>
      <c r="AA78" s="7" t="str">
        <f>IF($T78="","",INDEX(Tables!$B:$B,MATCH($T78,Tables!$F:$F,0)))</f>
        <v/>
      </c>
      <c r="AB78" s="7">
        <f t="shared" si="11"/>
        <v>0</v>
      </c>
      <c r="AC78" s="7">
        <f t="shared" si="12"/>
        <v>0</v>
      </c>
      <c r="AD78" s="54">
        <f t="shared" si="13"/>
        <v>0</v>
      </c>
      <c r="AE78" s="2" t="s">
        <v>109</v>
      </c>
      <c r="AF78" t="s">
        <v>120</v>
      </c>
    </row>
    <row r="79" spans="1:34" hidden="1" x14ac:dyDescent="0.25">
      <c r="A79" s="5">
        <f>IF(B79="","",MAX($A$1:$A78)+1)</f>
        <v>78</v>
      </c>
      <c r="B79" s="8" t="s">
        <v>226</v>
      </c>
      <c r="C79" s="7">
        <f>IF(B79="","",MATCH(B79,Tables!F:F,0))</f>
        <v>18</v>
      </c>
      <c r="D79" s="3" t="str" cm="1">
        <f t="array" ref="D79">IF(C79="","",IF(ISERROR(C79),"",INDEX(Tables!E:E,C79)))</f>
        <v>prdct</v>
      </c>
      <c r="E79" t="s">
        <v>112</v>
      </c>
      <c r="F79" s="1" t="str">
        <f t="shared" si="10"/>
        <v>prdctSystemCreationID</v>
      </c>
      <c r="G79" t="s">
        <v>243</v>
      </c>
      <c r="H79" s="17">
        <v>5</v>
      </c>
      <c r="K79" s="2" t="s">
        <v>46</v>
      </c>
      <c r="N79" s="2" t="s">
        <v>46</v>
      </c>
      <c r="S79" t="s">
        <v>121</v>
      </c>
      <c r="T79" s="8" t="s">
        <v>228</v>
      </c>
      <c r="U79" s="8" t="s">
        <v>232</v>
      </c>
      <c r="V79" s="1" t="str">
        <f t="shared" si="14"/>
        <v>FK_prdctSystemCreationID_usrSystemIdx</v>
      </c>
      <c r="W79" s="53" t="str">
        <f t="shared" si="16"/>
        <v>typeint_size5_unsigned</v>
      </c>
      <c r="X79" s="53" t="str">
        <f t="shared" si="15"/>
        <v>typeint_size5_unsigned</v>
      </c>
      <c r="Y79" s="53">
        <f t="shared" si="17"/>
        <v>0</v>
      </c>
      <c r="Z79" s="7">
        <f>IF($B79="",0,INDEX(Tables!$B:$B,MATCH($B79,Tables!$F:$F,0)))</f>
        <v>4</v>
      </c>
      <c r="AA79" s="7">
        <f>IF($T79="","",INDEX(Tables!$B:$B,MATCH($T79,Tables!$F:$F,0)))</f>
        <v>0</v>
      </c>
      <c r="AB79" s="7">
        <f t="shared" si="11"/>
        <v>0</v>
      </c>
      <c r="AC79" s="7">
        <f t="shared" si="12"/>
        <v>0</v>
      </c>
      <c r="AD79" s="54">
        <f t="shared" si="13"/>
        <v>0</v>
      </c>
      <c r="AE79" s="2" t="s">
        <v>107</v>
      </c>
      <c r="AF79" t="s">
        <v>444</v>
      </c>
    </row>
    <row r="80" spans="1:34" hidden="1" x14ac:dyDescent="0.25">
      <c r="A80" s="5">
        <f>IF(B80="","",MAX($A$1:$A79)+1)</f>
        <v>79</v>
      </c>
      <c r="B80" s="8" t="s">
        <v>226</v>
      </c>
      <c r="C80" s="7">
        <f>IF(B80="","",MATCH(B80,Tables!F:F,0))</f>
        <v>18</v>
      </c>
      <c r="D80" s="3" t="str" cm="1">
        <f t="array" ref="D80">IF(C80="","",IF(ISERROR(C80),"",INDEX(Tables!E:E,C80)))</f>
        <v>prdct</v>
      </c>
      <c r="E80" t="s">
        <v>113</v>
      </c>
      <c r="F80" s="1" t="str">
        <f t="shared" si="10"/>
        <v>prdctSystemLastUpdateDt</v>
      </c>
      <c r="G80" t="s">
        <v>297</v>
      </c>
      <c r="H80"/>
      <c r="I80"/>
      <c r="R80" s="2" t="s">
        <v>118</v>
      </c>
      <c r="S80" t="s">
        <v>122</v>
      </c>
      <c r="V80" s="1" t="str">
        <f t="shared" si="14"/>
        <v/>
      </c>
      <c r="W80" s="53" t="str">
        <f t="shared" si="16"/>
        <v>typeDATETIME_size</v>
      </c>
      <c r="X80" s="53" t="str">
        <f t="shared" si="15"/>
        <v/>
      </c>
      <c r="Y80" s="53">
        <f t="shared" si="17"/>
        <v>0</v>
      </c>
      <c r="Z80" s="7">
        <f>IF($B80="",0,INDEX(Tables!$B:$B,MATCH($B80,Tables!$F:$F,0)))</f>
        <v>4</v>
      </c>
      <c r="AA80" s="7" t="str">
        <f>IF($T80="","",INDEX(Tables!$B:$B,MATCH($T80,Tables!$F:$F,0)))</f>
        <v/>
      </c>
      <c r="AB80" s="7">
        <f t="shared" si="11"/>
        <v>0</v>
      </c>
      <c r="AC80" s="7">
        <f t="shared" si="12"/>
        <v>0</v>
      </c>
      <c r="AD80" s="54">
        <f t="shared" si="13"/>
        <v>0</v>
      </c>
      <c r="AE80" s="2" t="s">
        <v>109</v>
      </c>
      <c r="AF80" t="s">
        <v>445</v>
      </c>
    </row>
    <row r="81" spans="1:34" hidden="1" x14ac:dyDescent="0.25">
      <c r="A81" s="5">
        <f>IF(B81="","",MAX($A$1:$A80)+1)</f>
        <v>80</v>
      </c>
      <c r="B81" s="8" t="s">
        <v>226</v>
      </c>
      <c r="C81" s="7">
        <f>IF(B81="","",MATCH(B81,Tables!F:F,0))</f>
        <v>18</v>
      </c>
      <c r="D81" s="3" t="str" cm="1">
        <f t="array" ref="D81">IF(C81="","",IF(ISERROR(C81),"",INDEX(Tables!E:E,C81)))</f>
        <v>prdct</v>
      </c>
      <c r="E81" t="s">
        <v>114</v>
      </c>
      <c r="F81" s="1" t="str">
        <f t="shared" si="10"/>
        <v>prdctSystemLastUpdateID</v>
      </c>
      <c r="G81" t="s">
        <v>243</v>
      </c>
      <c r="H81" s="17">
        <v>5</v>
      </c>
      <c r="N81" s="2" t="s">
        <v>46</v>
      </c>
      <c r="R81" s="2" t="s">
        <v>118</v>
      </c>
      <c r="S81" t="s">
        <v>123</v>
      </c>
      <c r="T81" s="8" t="s">
        <v>228</v>
      </c>
      <c r="U81" s="8" t="s">
        <v>232</v>
      </c>
      <c r="V81" s="1" t="str">
        <f t="shared" si="14"/>
        <v>FK_prdctSystemLastUpdateID_usrSystemIdx</v>
      </c>
      <c r="W81" s="53" t="str">
        <f t="shared" si="16"/>
        <v>typeint_size5_unsigned</v>
      </c>
      <c r="X81" s="53" t="str">
        <f t="shared" si="15"/>
        <v>typeint_size5_unsigned</v>
      </c>
      <c r="Y81" s="53">
        <f t="shared" si="17"/>
        <v>0</v>
      </c>
      <c r="Z81" s="7">
        <f>IF($B81="",0,INDEX(Tables!$B:$B,MATCH($B81,Tables!$F:$F,0)))</f>
        <v>4</v>
      </c>
      <c r="AA81" s="7">
        <f>IF($T81="","",INDEX(Tables!$B:$B,MATCH($T81,Tables!$F:$F,0)))</f>
        <v>0</v>
      </c>
      <c r="AB81" s="7">
        <f t="shared" si="11"/>
        <v>0</v>
      </c>
      <c r="AC81" s="7">
        <f t="shared" si="12"/>
        <v>0</v>
      </c>
      <c r="AD81" s="54">
        <f t="shared" si="13"/>
        <v>0</v>
      </c>
      <c r="AE81" s="2" t="s">
        <v>107</v>
      </c>
      <c r="AF81" t="s">
        <v>443</v>
      </c>
    </row>
    <row r="82" spans="1:34" hidden="1" x14ac:dyDescent="0.25">
      <c r="A82" s="5">
        <f>IF(B82="","",MAX($A$1:$A81)+1)</f>
        <v>81</v>
      </c>
      <c r="B82" s="8" t="s">
        <v>227</v>
      </c>
      <c r="C82" s="7">
        <f>IF(B82="","",MATCH(B82,Tables!F:F,0))</f>
        <v>19</v>
      </c>
      <c r="D82" s="3" t="str" cm="1">
        <f t="array" ref="D82">IF(C82="","",IF(ISERROR(C82),"",INDEX(Tables!E:E,C82)))</f>
        <v>prmt</v>
      </c>
      <c r="E82" t="s">
        <v>218</v>
      </c>
      <c r="F82" s="1" t="str">
        <f t="shared" si="10"/>
        <v>prmtSystemIdx</v>
      </c>
      <c r="G82" t="s">
        <v>243</v>
      </c>
      <c r="H82" s="17">
        <v>4</v>
      </c>
      <c r="J82" s="2" t="s">
        <v>46</v>
      </c>
      <c r="K82" s="2" t="s">
        <v>46</v>
      </c>
      <c r="L82" s="2" t="s">
        <v>46</v>
      </c>
      <c r="N82" s="2" t="s">
        <v>46</v>
      </c>
      <c r="P82" s="2" t="s">
        <v>46</v>
      </c>
      <c r="S82" t="s">
        <v>149</v>
      </c>
      <c r="V82" s="1" t="str">
        <f t="shared" si="14"/>
        <v/>
      </c>
      <c r="W82" s="53" t="str">
        <f t="shared" si="16"/>
        <v>typeint_size4_unsigned</v>
      </c>
      <c r="X82" s="53" t="str">
        <f t="shared" si="15"/>
        <v/>
      </c>
      <c r="Y82" s="53">
        <f t="shared" si="17"/>
        <v>0</v>
      </c>
      <c r="Z82" s="7">
        <f>IF($B82="",0,INDEX(Tables!$B:$B,MATCH($B82,Tables!$F:$F,0)))</f>
        <v>10</v>
      </c>
      <c r="AA82" s="7" t="str">
        <f>IF($T82="","",INDEX(Tables!$B:$B,MATCH($T82,Tables!$F:$F,0)))</f>
        <v/>
      </c>
      <c r="AB82" s="7">
        <f t="shared" si="11"/>
        <v>0</v>
      </c>
      <c r="AC82" s="7">
        <f t="shared" si="12"/>
        <v>0</v>
      </c>
      <c r="AD82" s="54">
        <f t="shared" si="13"/>
        <v>0</v>
      </c>
      <c r="AE82" s="2" t="s">
        <v>107</v>
      </c>
      <c r="AF82" t="s">
        <v>414</v>
      </c>
    </row>
    <row r="83" spans="1:34" x14ac:dyDescent="0.25">
      <c r="A83" s="5">
        <f>IF(B83="","",MAX($A$1:$A82)+1)</f>
        <v>82</v>
      </c>
      <c r="B83" s="8" t="s">
        <v>227</v>
      </c>
      <c r="C83" s="7">
        <f>IF(B83="","",MATCH(B83,Tables!F:F,0))</f>
        <v>19</v>
      </c>
      <c r="D83" s="3" t="str" cm="1">
        <f t="array" ref="D83">IF(C83="","",IF(ISERROR(C83),"",INDEX(Tables!E:E,C83)))</f>
        <v>prmt</v>
      </c>
      <c r="E83" t="s">
        <v>154</v>
      </c>
      <c r="F83" s="1" t="str">
        <f t="shared" si="10"/>
        <v>prmtCode</v>
      </c>
      <c r="G83" t="s">
        <v>248</v>
      </c>
      <c r="H83" s="17">
        <v>10</v>
      </c>
      <c r="K83" s="2" t="s">
        <v>46</v>
      </c>
      <c r="L83" s="2" t="s">
        <v>46</v>
      </c>
      <c r="S83" t="s">
        <v>156</v>
      </c>
      <c r="V83" s="1" t="str">
        <f t="shared" si="14"/>
        <v/>
      </c>
      <c r="W83" s="53" t="str">
        <f t="shared" si="16"/>
        <v>typevarchar_size10</v>
      </c>
      <c r="X83" s="53" t="str">
        <f t="shared" si="15"/>
        <v/>
      </c>
      <c r="Y83" s="53">
        <f t="shared" si="17"/>
        <v>0</v>
      </c>
      <c r="Z83" s="7">
        <f>IF($B83="",0,INDEX(Tables!$B:$B,MATCH($B83,Tables!$F:$F,0)))</f>
        <v>10</v>
      </c>
      <c r="AA83" s="7" t="str">
        <f>IF($T83="","",INDEX(Tables!$B:$B,MATCH($T83,Tables!$F:$F,0)))</f>
        <v/>
      </c>
      <c r="AB83" s="7">
        <f t="shared" si="11"/>
        <v>0</v>
      </c>
      <c r="AC83" s="7">
        <f t="shared" si="12"/>
        <v>0</v>
      </c>
      <c r="AD83" s="54">
        <f t="shared" si="13"/>
        <v>0</v>
      </c>
      <c r="AE83" s="2" t="s">
        <v>108</v>
      </c>
      <c r="AF83" t="s">
        <v>457</v>
      </c>
      <c r="AH83" s="2" t="s">
        <v>559</v>
      </c>
    </row>
    <row r="84" spans="1:34" x14ac:dyDescent="0.25">
      <c r="A84" s="5">
        <f>IF(B84="","",MAX($A$1:$A83)+1)</f>
        <v>83</v>
      </c>
      <c r="B84" s="8" t="s">
        <v>227</v>
      </c>
      <c r="C84" s="7">
        <f>IF(B84="","",MATCH(B84,Tables!F:F,0))</f>
        <v>19</v>
      </c>
      <c r="D84" s="3" t="str" cm="1">
        <f t="array" ref="D84">IF(C84="","",IF(ISERROR(C84),"",INDEX(Tables!E:E,C84)))</f>
        <v>prmt</v>
      </c>
      <c r="E84" t="s">
        <v>127</v>
      </c>
      <c r="F84" s="1" t="str">
        <f t="shared" si="10"/>
        <v>prmtName</v>
      </c>
      <c r="G84" t="s">
        <v>248</v>
      </c>
      <c r="H84">
        <v>100</v>
      </c>
      <c r="I84"/>
      <c r="K84" s="2" t="s">
        <v>46</v>
      </c>
      <c r="L84" s="2" t="s">
        <v>46</v>
      </c>
      <c r="S84" t="s">
        <v>157</v>
      </c>
      <c r="V84" s="1" t="str">
        <f t="shared" si="14"/>
        <v/>
      </c>
      <c r="W84" s="53" t="str">
        <f t="shared" si="16"/>
        <v>typevarchar_size100</v>
      </c>
      <c r="X84" s="53" t="str">
        <f t="shared" si="15"/>
        <v/>
      </c>
      <c r="Y84" s="53">
        <f t="shared" si="17"/>
        <v>0</v>
      </c>
      <c r="Z84" s="7">
        <f>IF($B84="",0,INDEX(Tables!$B:$B,MATCH($B84,Tables!$F:$F,0)))</f>
        <v>10</v>
      </c>
      <c r="AA84" s="7" t="str">
        <f>IF($T84="","",INDEX(Tables!$B:$B,MATCH($T84,Tables!$F:$F,0)))</f>
        <v/>
      </c>
      <c r="AB84" s="7">
        <f t="shared" si="11"/>
        <v>0</v>
      </c>
      <c r="AC84" s="7">
        <f t="shared" si="12"/>
        <v>0</v>
      </c>
      <c r="AD84" s="54">
        <f t="shared" si="13"/>
        <v>0</v>
      </c>
      <c r="AE84" s="2" t="s">
        <v>108</v>
      </c>
      <c r="AF84" t="s">
        <v>417</v>
      </c>
      <c r="AH84" s="2" t="s">
        <v>559</v>
      </c>
    </row>
    <row r="85" spans="1:34" hidden="1" x14ac:dyDescent="0.25">
      <c r="A85" s="5">
        <f>IF(B85="","",MAX($A$1:$A84)+1)</f>
        <v>84</v>
      </c>
      <c r="B85" s="8" t="s">
        <v>227</v>
      </c>
      <c r="C85" s="7">
        <f>IF(B85="","",MATCH(B85,Tables!F:F,0))</f>
        <v>19</v>
      </c>
      <c r="D85" s="3" t="str" cm="1">
        <f t="array" ref="D85">IF(C85="","",IF(ISERROR(C85),"",INDEX(Tables!E:E,C85)))</f>
        <v>prmt</v>
      </c>
      <c r="E85" t="s">
        <v>150</v>
      </c>
      <c r="F85" s="1" t="str">
        <f t="shared" si="10"/>
        <v>prmtDesc</v>
      </c>
      <c r="G85" t="s">
        <v>248</v>
      </c>
      <c r="H85">
        <v>300</v>
      </c>
      <c r="I85"/>
      <c r="K85" s="2" t="s">
        <v>46</v>
      </c>
      <c r="L85" s="2" t="s">
        <v>46</v>
      </c>
      <c r="S85" t="s">
        <v>158</v>
      </c>
      <c r="V85" s="1" t="str">
        <f t="shared" si="14"/>
        <v/>
      </c>
      <c r="W85" s="53" t="str">
        <f t="shared" si="16"/>
        <v>typevarchar_size300</v>
      </c>
      <c r="X85" s="53" t="str">
        <f t="shared" si="15"/>
        <v/>
      </c>
      <c r="Y85" s="53">
        <f t="shared" si="17"/>
        <v>0</v>
      </c>
      <c r="Z85" s="7">
        <f>IF($B85="",0,INDEX(Tables!$B:$B,MATCH($B85,Tables!$F:$F,0)))</f>
        <v>10</v>
      </c>
      <c r="AA85" s="7" t="str">
        <f>IF($T85="","",INDEX(Tables!$B:$B,MATCH($T85,Tables!$F:$F,0)))</f>
        <v/>
      </c>
      <c r="AB85" s="7">
        <f t="shared" si="11"/>
        <v>0</v>
      </c>
      <c r="AC85" s="7">
        <f t="shared" si="12"/>
        <v>0</v>
      </c>
      <c r="AD85" s="54">
        <f t="shared" si="13"/>
        <v>0</v>
      </c>
      <c r="AE85" s="2" t="s">
        <v>108</v>
      </c>
      <c r="AF85" t="s">
        <v>47</v>
      </c>
    </row>
    <row r="86" spans="1:34" x14ac:dyDescent="0.25">
      <c r="A86" s="5">
        <f>IF(B86="","",MAX($A$1:$A85)+1)</f>
        <v>85</v>
      </c>
      <c r="B86" s="8" t="s">
        <v>227</v>
      </c>
      <c r="C86" s="7">
        <f>IF(B86="","",MATCH(B86,Tables!F:F,0))</f>
        <v>19</v>
      </c>
      <c r="D86" s="3" t="str" cm="1">
        <f t="array" ref="D86">IF(C86="","",IF(ISERROR(C86),"",INDEX(Tables!E:E,C86)))</f>
        <v>prmt</v>
      </c>
      <c r="E86" t="s">
        <v>289</v>
      </c>
      <c r="F86" s="1" t="str">
        <f t="shared" si="10"/>
        <v>prmtValidYear</v>
      </c>
      <c r="G86" t="s">
        <v>243</v>
      </c>
      <c r="H86" s="17">
        <v>4</v>
      </c>
      <c r="I86"/>
      <c r="N86" s="2" t="s">
        <v>46</v>
      </c>
      <c r="R86" s="2" t="s">
        <v>118</v>
      </c>
      <c r="S86" t="s">
        <v>290</v>
      </c>
      <c r="V86" s="1" t="str">
        <f t="shared" ref="V86" si="18">IF(OR(T86="",U86=""),"",_xlfn.CONCAT("FK_",F86,"_",U86))</f>
        <v/>
      </c>
      <c r="W86" s="53" t="str">
        <f t="shared" si="16"/>
        <v>typeint_size4_unsigned</v>
      </c>
      <c r="X86" s="53" t="str">
        <f t="shared" si="15"/>
        <v/>
      </c>
      <c r="Y86" s="53">
        <f t="shared" si="17"/>
        <v>0</v>
      </c>
      <c r="Z86" s="7">
        <f>IF($B86="",0,INDEX(Tables!$B:$B,MATCH($B86,Tables!$F:$F,0)))</f>
        <v>10</v>
      </c>
      <c r="AA86" s="7" t="str">
        <f>IF($T86="","",INDEX(Tables!$B:$B,MATCH($T86,Tables!$F:$F,0)))</f>
        <v/>
      </c>
      <c r="AB86" s="7">
        <f t="shared" si="11"/>
        <v>0</v>
      </c>
      <c r="AC86" s="7">
        <f t="shared" si="12"/>
        <v>0</v>
      </c>
      <c r="AD86" s="54">
        <f t="shared" si="13"/>
        <v>0</v>
      </c>
      <c r="AE86" s="2" t="s">
        <v>107</v>
      </c>
      <c r="AF86" t="s">
        <v>458</v>
      </c>
      <c r="AH86" s="2" t="s">
        <v>560</v>
      </c>
    </row>
    <row r="87" spans="1:34" x14ac:dyDescent="0.25">
      <c r="A87" s="5">
        <f>IF(B87="","",MAX($A$1:$A86)+1)</f>
        <v>86</v>
      </c>
      <c r="B87" s="8" t="s">
        <v>227</v>
      </c>
      <c r="C87" s="7">
        <f>IF(B87="","",MATCH(B87,Tables!F:F,0))</f>
        <v>19</v>
      </c>
      <c r="D87" s="3" t="str" cm="1">
        <f t="array" ref="D87">IF(C87="","",IF(ISERROR(C87),"",INDEX(Tables!E:E,C87)))</f>
        <v>prmt</v>
      </c>
      <c r="E87" t="s">
        <v>151</v>
      </c>
      <c r="F87" s="1" t="str">
        <f t="shared" si="10"/>
        <v>prmtValidDateStart</v>
      </c>
      <c r="G87" t="s">
        <v>80</v>
      </c>
      <c r="H87"/>
      <c r="I87"/>
      <c r="R87" s="2" t="s">
        <v>118</v>
      </c>
      <c r="S87" t="s">
        <v>159</v>
      </c>
      <c r="V87" s="1" t="str">
        <f t="shared" si="14"/>
        <v/>
      </c>
      <c r="W87" s="53" t="str">
        <f t="shared" si="16"/>
        <v>typeDate_size</v>
      </c>
      <c r="X87" s="53" t="str">
        <f t="shared" si="15"/>
        <v/>
      </c>
      <c r="Y87" s="53">
        <f t="shared" si="17"/>
        <v>0</v>
      </c>
      <c r="Z87" s="7">
        <f>IF($B87="",0,INDEX(Tables!$B:$B,MATCH($B87,Tables!$F:$F,0)))</f>
        <v>10</v>
      </c>
      <c r="AA87" s="7" t="str">
        <f>IF($T87="","",INDEX(Tables!$B:$B,MATCH($T87,Tables!$F:$F,0)))</f>
        <v/>
      </c>
      <c r="AB87" s="7">
        <f t="shared" si="11"/>
        <v>0</v>
      </c>
      <c r="AC87" s="7">
        <f t="shared" si="12"/>
        <v>0</v>
      </c>
      <c r="AD87" s="54">
        <f t="shared" si="13"/>
        <v>0</v>
      </c>
      <c r="AE87" s="2" t="s">
        <v>109</v>
      </c>
      <c r="AF87" t="s">
        <v>159</v>
      </c>
      <c r="AH87" s="2" t="s">
        <v>560</v>
      </c>
    </row>
    <row r="88" spans="1:34" x14ac:dyDescent="0.25">
      <c r="A88" s="5">
        <f>IF(B88="","",MAX($A$1:$A87)+1)</f>
        <v>87</v>
      </c>
      <c r="B88" s="8" t="s">
        <v>227</v>
      </c>
      <c r="C88" s="7">
        <f>IF(B88="","",MATCH(B88,Tables!F:F,0))</f>
        <v>19</v>
      </c>
      <c r="D88" s="3" t="str" cm="1">
        <f t="array" ref="D88">IF(C88="","",IF(ISERROR(C88),"",INDEX(Tables!E:E,C88)))</f>
        <v>prmt</v>
      </c>
      <c r="E88" t="s">
        <v>152</v>
      </c>
      <c r="F88" s="1" t="str">
        <f t="shared" si="10"/>
        <v>prmtValidDateFinal</v>
      </c>
      <c r="G88" t="s">
        <v>80</v>
      </c>
      <c r="H88"/>
      <c r="I88"/>
      <c r="R88" s="2" t="s">
        <v>118</v>
      </c>
      <c r="S88" t="s">
        <v>160</v>
      </c>
      <c r="V88" s="1" t="str">
        <f t="shared" si="14"/>
        <v/>
      </c>
      <c r="W88" s="53" t="str">
        <f t="shared" si="16"/>
        <v>typeDate_size</v>
      </c>
      <c r="X88" s="53" t="str">
        <f t="shared" si="15"/>
        <v/>
      </c>
      <c r="Y88" s="53">
        <f t="shared" si="17"/>
        <v>0</v>
      </c>
      <c r="Z88" s="7">
        <f>IF($B88="",0,INDEX(Tables!$B:$B,MATCH($B88,Tables!$F:$F,0)))</f>
        <v>10</v>
      </c>
      <c r="AA88" s="7" t="str">
        <f>IF($T88="","",INDEX(Tables!$B:$B,MATCH($T88,Tables!$F:$F,0)))</f>
        <v/>
      </c>
      <c r="AB88" s="7">
        <f t="shared" si="11"/>
        <v>0</v>
      </c>
      <c r="AC88" s="7">
        <f t="shared" si="12"/>
        <v>0</v>
      </c>
      <c r="AD88" s="54">
        <f t="shared" si="13"/>
        <v>0</v>
      </c>
      <c r="AE88" s="2" t="s">
        <v>109</v>
      </c>
      <c r="AF88" t="s">
        <v>160</v>
      </c>
      <c r="AH88" s="2" t="s">
        <v>560</v>
      </c>
    </row>
    <row r="89" spans="1:34" hidden="1" x14ac:dyDescent="0.25">
      <c r="A89" s="5">
        <f>IF(B89="","",MAX($A$1:$A88)+1)</f>
        <v>88</v>
      </c>
      <c r="B89" s="8" t="s">
        <v>227</v>
      </c>
      <c r="C89" s="7">
        <f>IF(B89="","",MATCH(B89,Tables!F:F,0))</f>
        <v>19</v>
      </c>
      <c r="D89" s="3" t="str" cm="1">
        <f t="array" ref="D89">IF(C89="","",IF(ISERROR(C89),"",INDEX(Tables!E:E,C89)))</f>
        <v>prmt</v>
      </c>
      <c r="E89" t="s">
        <v>153</v>
      </c>
      <c r="F89" s="1" t="str">
        <f t="shared" si="10"/>
        <v>prmtValidQuantMax</v>
      </c>
      <c r="G89" t="s">
        <v>243</v>
      </c>
      <c r="H89" s="17">
        <v>4</v>
      </c>
      <c r="N89" s="2" t="s">
        <v>46</v>
      </c>
      <c r="R89" s="2" t="s">
        <v>118</v>
      </c>
      <c r="S89" t="s">
        <v>155</v>
      </c>
      <c r="V89" s="1" t="str">
        <f t="shared" si="14"/>
        <v/>
      </c>
      <c r="W89" s="53" t="str">
        <f t="shared" si="16"/>
        <v>typeint_size4_unsigned</v>
      </c>
      <c r="X89" s="53" t="str">
        <f t="shared" si="15"/>
        <v/>
      </c>
      <c r="Y89" s="53">
        <f t="shared" si="17"/>
        <v>0</v>
      </c>
      <c r="Z89" s="7">
        <f>IF($B89="",0,INDEX(Tables!$B:$B,MATCH($B89,Tables!$F:$F,0)))</f>
        <v>10</v>
      </c>
      <c r="AA89" s="7" t="str">
        <f>IF($T89="","",INDEX(Tables!$B:$B,MATCH($T89,Tables!$F:$F,0)))</f>
        <v/>
      </c>
      <c r="AB89" s="7">
        <f t="shared" si="11"/>
        <v>0</v>
      </c>
      <c r="AC89" s="7">
        <f t="shared" si="12"/>
        <v>0</v>
      </c>
      <c r="AD89" s="54">
        <f t="shared" si="13"/>
        <v>0</v>
      </c>
      <c r="AE89" s="2" t="s">
        <v>107</v>
      </c>
      <c r="AF89" t="s">
        <v>459</v>
      </c>
    </row>
    <row r="90" spans="1:34" hidden="1" x14ac:dyDescent="0.25">
      <c r="A90" s="5">
        <f>IF(B90="","",MAX($A$1:$A89)+1)</f>
        <v>89</v>
      </c>
      <c r="B90" s="8" t="s">
        <v>227</v>
      </c>
      <c r="C90" s="7">
        <f>IF(B90="","",MATCH(B90,Tables!F:F,0))</f>
        <v>19</v>
      </c>
      <c r="D90" s="3" t="str" cm="1">
        <f t="array" ref="D90">IF(C90="","",IF(ISERROR(C90),"",INDEX(Tables!E:E,C90)))</f>
        <v>prmt</v>
      </c>
      <c r="E90" t="s">
        <v>75</v>
      </c>
      <c r="F90" s="1" t="str">
        <f t="shared" si="10"/>
        <v>prmtSubDomain</v>
      </c>
      <c r="G90" t="s">
        <v>77</v>
      </c>
      <c r="H90"/>
      <c r="I90"/>
      <c r="R90" s="2" t="s">
        <v>118</v>
      </c>
      <c r="S90" t="s">
        <v>101</v>
      </c>
      <c r="V90" s="1" t="str">
        <f t="shared" si="14"/>
        <v/>
      </c>
      <c r="W90" s="53" t="str">
        <f t="shared" si="16"/>
        <v>typetext_size</v>
      </c>
      <c r="X90" s="53" t="str">
        <f t="shared" si="15"/>
        <v/>
      </c>
      <c r="Y90" s="53">
        <f t="shared" si="17"/>
        <v>0</v>
      </c>
      <c r="Z90" s="7">
        <f>IF($B90="",0,INDEX(Tables!$B:$B,MATCH($B90,Tables!$F:$F,0)))</f>
        <v>10</v>
      </c>
      <c r="AA90" s="7" t="str">
        <f>IF($T90="","",INDEX(Tables!$B:$B,MATCH($T90,Tables!$F:$F,0)))</f>
        <v/>
      </c>
      <c r="AB90" s="7">
        <f t="shared" si="11"/>
        <v>0</v>
      </c>
      <c r="AC90" s="7">
        <f t="shared" si="12"/>
        <v>0</v>
      </c>
      <c r="AD90" s="54">
        <f t="shared" si="13"/>
        <v>0</v>
      </c>
      <c r="AE90" s="2" t="s">
        <v>108</v>
      </c>
      <c r="AF90" t="s">
        <v>460</v>
      </c>
    </row>
    <row r="91" spans="1:34" hidden="1" x14ac:dyDescent="0.25">
      <c r="A91" s="5">
        <f>IF(B91="","",MAX($A$1:$A90)+1)</f>
        <v>90</v>
      </c>
      <c r="B91" s="8" t="s">
        <v>227</v>
      </c>
      <c r="C91" s="7">
        <f>IF(B91="","",MATCH(B91,Tables!F:F,0))</f>
        <v>19</v>
      </c>
      <c r="D91" s="3" t="str" cm="1">
        <f t="array" ref="D91">IF(C91="","",IF(ISERROR(C91),"",INDEX(Tables!E:E,C91)))</f>
        <v>prmt</v>
      </c>
      <c r="E91" t="s">
        <v>110</v>
      </c>
      <c r="F91" s="1" t="str">
        <f t="shared" si="10"/>
        <v>prmtSystemActive</v>
      </c>
      <c r="G91" t="s">
        <v>245</v>
      </c>
      <c r="H91" s="17">
        <v>1</v>
      </c>
      <c r="R91" s="2" t="s">
        <v>116</v>
      </c>
      <c r="S91" t="s">
        <v>119</v>
      </c>
      <c r="V91" s="1" t="str">
        <f t="shared" si="14"/>
        <v/>
      </c>
      <c r="W91" s="53" t="str">
        <f t="shared" si="16"/>
        <v>typebit_size1</v>
      </c>
      <c r="X91" s="53" t="str">
        <f t="shared" si="15"/>
        <v/>
      </c>
      <c r="Y91" s="53">
        <f t="shared" si="17"/>
        <v>0</v>
      </c>
      <c r="Z91" s="7">
        <f>IF($B91="",0,INDEX(Tables!$B:$B,MATCH($B91,Tables!$F:$F,0)))</f>
        <v>10</v>
      </c>
      <c r="AA91" s="7" t="str">
        <f>IF($T91="","",INDEX(Tables!$B:$B,MATCH($T91,Tables!$F:$F,0)))</f>
        <v/>
      </c>
      <c r="AB91" s="7">
        <f t="shared" si="11"/>
        <v>0</v>
      </c>
      <c r="AC91" s="7">
        <f t="shared" si="12"/>
        <v>0</v>
      </c>
      <c r="AD91" s="54">
        <f t="shared" si="13"/>
        <v>0</v>
      </c>
      <c r="AE91" s="2" t="s">
        <v>115</v>
      </c>
      <c r="AF91" t="s">
        <v>119</v>
      </c>
    </row>
    <row r="92" spans="1:34" hidden="1" x14ac:dyDescent="0.25">
      <c r="A92" s="5">
        <f>IF(B92="","",MAX($A$1:$A91)+1)</f>
        <v>91</v>
      </c>
      <c r="B92" s="8" t="s">
        <v>227</v>
      </c>
      <c r="C92" s="7">
        <f>IF(B92="","",MATCH(B92,Tables!F:F,0))</f>
        <v>19</v>
      </c>
      <c r="D92" s="3" t="str" cm="1">
        <f t="array" ref="D92">IF(C92="","",IF(ISERROR(C92),"",INDEX(Tables!E:E,C92)))</f>
        <v>prmt</v>
      </c>
      <c r="E92" t="s">
        <v>111</v>
      </c>
      <c r="F92" s="1" t="str">
        <f t="shared" si="10"/>
        <v>prmtSystemCreationDt</v>
      </c>
      <c r="G92" t="s">
        <v>297</v>
      </c>
      <c r="H92"/>
      <c r="I92"/>
      <c r="R92" s="2" t="s">
        <v>117</v>
      </c>
      <c r="S92" t="s">
        <v>120</v>
      </c>
      <c r="V92" s="1" t="str">
        <f t="shared" si="14"/>
        <v/>
      </c>
      <c r="W92" s="53" t="str">
        <f t="shared" si="16"/>
        <v>typeDATETIME_size</v>
      </c>
      <c r="X92" s="53" t="str">
        <f t="shared" si="15"/>
        <v/>
      </c>
      <c r="Y92" s="53">
        <f t="shared" si="17"/>
        <v>0</v>
      </c>
      <c r="Z92" s="7">
        <f>IF($B92="",0,INDEX(Tables!$B:$B,MATCH($B92,Tables!$F:$F,0)))</f>
        <v>10</v>
      </c>
      <c r="AA92" s="7" t="str">
        <f>IF($T92="","",INDEX(Tables!$B:$B,MATCH($T92,Tables!$F:$F,0)))</f>
        <v/>
      </c>
      <c r="AB92" s="7">
        <f t="shared" si="11"/>
        <v>0</v>
      </c>
      <c r="AC92" s="7">
        <f t="shared" si="12"/>
        <v>0</v>
      </c>
      <c r="AD92" s="54">
        <f t="shared" si="13"/>
        <v>0</v>
      </c>
      <c r="AE92" s="2" t="s">
        <v>109</v>
      </c>
      <c r="AF92" t="s">
        <v>120</v>
      </c>
    </row>
    <row r="93" spans="1:34" hidden="1" x14ac:dyDescent="0.25">
      <c r="A93" s="5">
        <f>IF(B93="","",MAX($A$1:$A92)+1)</f>
        <v>92</v>
      </c>
      <c r="B93" s="8" t="s">
        <v>227</v>
      </c>
      <c r="C93" s="7">
        <f>IF(B93="","",MATCH(B93,Tables!F:F,0))</f>
        <v>19</v>
      </c>
      <c r="D93" s="3" t="str" cm="1">
        <f t="array" ref="D93">IF(C93="","",IF(ISERROR(C93),"",INDEX(Tables!E:E,C93)))</f>
        <v>prmt</v>
      </c>
      <c r="E93" t="s">
        <v>112</v>
      </c>
      <c r="F93" s="1" t="str">
        <f t="shared" si="10"/>
        <v>prmtSystemCreationID</v>
      </c>
      <c r="G93" t="s">
        <v>243</v>
      </c>
      <c r="H93" s="17">
        <v>5</v>
      </c>
      <c r="K93" s="2" t="s">
        <v>46</v>
      </c>
      <c r="N93" s="2" t="s">
        <v>46</v>
      </c>
      <c r="S93" t="s">
        <v>121</v>
      </c>
      <c r="T93" s="8" t="s">
        <v>228</v>
      </c>
      <c r="U93" s="8" t="s">
        <v>232</v>
      </c>
      <c r="V93" s="1" t="str">
        <f t="shared" si="14"/>
        <v>FK_prmtSystemCreationID_usrSystemIdx</v>
      </c>
      <c r="W93" s="53" t="str">
        <f t="shared" si="16"/>
        <v>typeint_size5_unsigned</v>
      </c>
      <c r="X93" s="53" t="str">
        <f t="shared" si="15"/>
        <v>typeint_size5_unsigned</v>
      </c>
      <c r="Y93" s="53">
        <f t="shared" si="17"/>
        <v>0</v>
      </c>
      <c r="Z93" s="7">
        <f>IF($B93="",0,INDEX(Tables!$B:$B,MATCH($B93,Tables!$F:$F,0)))</f>
        <v>10</v>
      </c>
      <c r="AA93" s="7">
        <f>IF($T93="","",INDEX(Tables!$B:$B,MATCH($T93,Tables!$F:$F,0)))</f>
        <v>0</v>
      </c>
      <c r="AB93" s="7">
        <f t="shared" si="11"/>
        <v>0</v>
      </c>
      <c r="AC93" s="7">
        <f t="shared" si="12"/>
        <v>0</v>
      </c>
      <c r="AD93" s="54">
        <f t="shared" si="13"/>
        <v>0</v>
      </c>
      <c r="AE93" s="2" t="s">
        <v>107</v>
      </c>
      <c r="AF93" t="s">
        <v>444</v>
      </c>
    </row>
    <row r="94" spans="1:34" hidden="1" x14ac:dyDescent="0.25">
      <c r="A94" s="5">
        <f>IF(B94="","",MAX($A$1:$A93)+1)</f>
        <v>93</v>
      </c>
      <c r="B94" s="8" t="s">
        <v>227</v>
      </c>
      <c r="C94" s="7">
        <f>IF(B94="","",MATCH(B94,Tables!F:F,0))</f>
        <v>19</v>
      </c>
      <c r="D94" s="3" t="str" cm="1">
        <f t="array" ref="D94">IF(C94="","",IF(ISERROR(C94),"",INDEX(Tables!E:E,C94)))</f>
        <v>prmt</v>
      </c>
      <c r="E94" t="s">
        <v>113</v>
      </c>
      <c r="F94" s="1" t="str">
        <f t="shared" si="10"/>
        <v>prmtSystemLastUpdateDt</v>
      </c>
      <c r="G94" t="s">
        <v>297</v>
      </c>
      <c r="H94"/>
      <c r="I94"/>
      <c r="R94" s="2" t="s">
        <v>118</v>
      </c>
      <c r="S94" t="s">
        <v>122</v>
      </c>
      <c r="V94" s="1" t="str">
        <f t="shared" si="14"/>
        <v/>
      </c>
      <c r="W94" s="53" t="str">
        <f t="shared" si="16"/>
        <v>typeDATETIME_size</v>
      </c>
      <c r="X94" s="53" t="str">
        <f t="shared" si="15"/>
        <v/>
      </c>
      <c r="Y94" s="53">
        <f t="shared" si="17"/>
        <v>0</v>
      </c>
      <c r="Z94" s="7">
        <f>IF($B94="",0,INDEX(Tables!$B:$B,MATCH($B94,Tables!$F:$F,0)))</f>
        <v>10</v>
      </c>
      <c r="AA94" s="7" t="str">
        <f>IF($T94="","",INDEX(Tables!$B:$B,MATCH($T94,Tables!$F:$F,0)))</f>
        <v/>
      </c>
      <c r="AB94" s="7">
        <f t="shared" si="11"/>
        <v>0</v>
      </c>
      <c r="AC94" s="7">
        <f t="shared" si="12"/>
        <v>0</v>
      </c>
      <c r="AD94" s="54">
        <f t="shared" si="13"/>
        <v>0</v>
      </c>
      <c r="AE94" s="2" t="s">
        <v>109</v>
      </c>
      <c r="AF94" t="s">
        <v>445</v>
      </c>
    </row>
    <row r="95" spans="1:34" hidden="1" x14ac:dyDescent="0.25">
      <c r="A95" s="5">
        <f>IF(B95="","",MAX($A$1:$A94)+1)</f>
        <v>94</v>
      </c>
      <c r="B95" s="8" t="s">
        <v>227</v>
      </c>
      <c r="C95" s="7">
        <f>IF(B95="","",MATCH(B95,Tables!F:F,0))</f>
        <v>19</v>
      </c>
      <c r="D95" s="3" t="str" cm="1">
        <f t="array" ref="D95">IF(C95="","",IF(ISERROR(C95),"",INDEX(Tables!E:E,C95)))</f>
        <v>prmt</v>
      </c>
      <c r="E95" t="s">
        <v>114</v>
      </c>
      <c r="F95" s="1" t="str">
        <f t="shared" si="10"/>
        <v>prmtSystemLastUpdateID</v>
      </c>
      <c r="G95" t="s">
        <v>243</v>
      </c>
      <c r="H95" s="17">
        <v>5</v>
      </c>
      <c r="N95" s="2" t="s">
        <v>46</v>
      </c>
      <c r="R95" s="2" t="s">
        <v>118</v>
      </c>
      <c r="S95" t="s">
        <v>123</v>
      </c>
      <c r="T95" s="8" t="s">
        <v>228</v>
      </c>
      <c r="U95" s="8" t="s">
        <v>232</v>
      </c>
      <c r="V95" s="1" t="str">
        <f t="shared" si="14"/>
        <v>FK_prmtSystemLastUpdateID_usrSystemIdx</v>
      </c>
      <c r="W95" s="53" t="str">
        <f t="shared" si="16"/>
        <v>typeint_size5_unsigned</v>
      </c>
      <c r="X95" s="53" t="str">
        <f t="shared" si="15"/>
        <v>typeint_size5_unsigned</v>
      </c>
      <c r="Y95" s="53">
        <f t="shared" si="17"/>
        <v>0</v>
      </c>
      <c r="Z95" s="7">
        <f>IF($B95="",0,INDEX(Tables!$B:$B,MATCH($B95,Tables!$F:$F,0)))</f>
        <v>10</v>
      </c>
      <c r="AA95" s="7">
        <f>IF($T95="","",INDEX(Tables!$B:$B,MATCH($T95,Tables!$F:$F,0)))</f>
        <v>0</v>
      </c>
      <c r="AB95" s="7">
        <f t="shared" si="11"/>
        <v>0</v>
      </c>
      <c r="AC95" s="7">
        <f t="shared" si="12"/>
        <v>0</v>
      </c>
      <c r="AD95" s="54">
        <f t="shared" si="13"/>
        <v>0</v>
      </c>
      <c r="AE95" s="2" t="s">
        <v>107</v>
      </c>
      <c r="AF95" t="s">
        <v>443</v>
      </c>
    </row>
    <row r="96" spans="1:34" hidden="1" x14ac:dyDescent="0.25">
      <c r="A96" s="5">
        <f>IF(B96="","",MAX($A$1:$A95)+1)</f>
        <v>95</v>
      </c>
      <c r="B96" s="8" t="s">
        <v>357</v>
      </c>
      <c r="C96" s="7">
        <f>IF(B96="","",MATCH(B96,Tables!F:F,0))</f>
        <v>10</v>
      </c>
      <c r="D96" s="3" t="str" cm="1">
        <f t="array" ref="D96">IF(C96="","",IF(ISERROR(C96),"",INDEX(Tables!E:E,C96)))</f>
        <v>cll</v>
      </c>
      <c r="E96" t="s">
        <v>218</v>
      </c>
      <c r="F96" s="1" t="str">
        <f t="shared" si="10"/>
        <v>cllSystemIdx</v>
      </c>
      <c r="G96" t="s">
        <v>243</v>
      </c>
      <c r="H96" s="17">
        <v>5</v>
      </c>
      <c r="J96" s="2" t="s">
        <v>46</v>
      </c>
      <c r="K96" s="2" t="s">
        <v>46</v>
      </c>
      <c r="L96" s="2" t="s">
        <v>46</v>
      </c>
      <c r="N96" s="2" t="s">
        <v>46</v>
      </c>
      <c r="P96" s="2" t="s">
        <v>46</v>
      </c>
      <c r="S96" t="s">
        <v>164</v>
      </c>
      <c r="V96" s="1" t="str">
        <f t="shared" si="14"/>
        <v/>
      </c>
      <c r="W96" s="53" t="str">
        <f t="shared" si="16"/>
        <v>typeint_size5_unsigned</v>
      </c>
      <c r="X96" s="53" t="str">
        <f t="shared" si="15"/>
        <v/>
      </c>
      <c r="Y96" s="53">
        <f t="shared" si="17"/>
        <v>0</v>
      </c>
      <c r="Z96" s="7">
        <f>IF($B96="",0,INDEX(Tables!$B:$B,MATCH($B96,Tables!$F:$F,0)))</f>
        <v>9</v>
      </c>
      <c r="AA96" s="7" t="str">
        <f>IF($T96="","",INDEX(Tables!$B:$B,MATCH($T96,Tables!$F:$F,0)))</f>
        <v/>
      </c>
      <c r="AB96" s="7">
        <f t="shared" si="11"/>
        <v>0</v>
      </c>
      <c r="AC96" s="7">
        <f t="shared" si="12"/>
        <v>0</v>
      </c>
      <c r="AD96" s="54">
        <f t="shared" si="13"/>
        <v>0</v>
      </c>
      <c r="AE96" s="2" t="s">
        <v>107</v>
      </c>
      <c r="AF96" t="s">
        <v>414</v>
      </c>
    </row>
    <row r="97" spans="1:34" x14ac:dyDescent="0.25">
      <c r="A97" s="5">
        <f>IF(B97="","",MAX($A$1:$A96)+1)</f>
        <v>96</v>
      </c>
      <c r="B97" s="8" t="s">
        <v>357</v>
      </c>
      <c r="C97" s="7">
        <f>IF(B97="","",MATCH(B97,Tables!F:F,0))</f>
        <v>10</v>
      </c>
      <c r="D97" s="3" t="str" cm="1">
        <f t="array" ref="D97">IF(C97="","",IF(ISERROR(C97),"",INDEX(Tables!E:E,C97)))</f>
        <v>cll</v>
      </c>
      <c r="E97" t="s">
        <v>161</v>
      </c>
      <c r="F97" s="1" t="str">
        <f t="shared" si="10"/>
        <v>cllTittle</v>
      </c>
      <c r="G97" t="s">
        <v>248</v>
      </c>
      <c r="H97" s="17">
        <v>30</v>
      </c>
      <c r="K97" s="2" t="s">
        <v>46</v>
      </c>
      <c r="S97" t="s">
        <v>258</v>
      </c>
      <c r="V97" s="1" t="str">
        <f t="shared" si="14"/>
        <v/>
      </c>
      <c r="W97" s="53" t="str">
        <f t="shared" si="16"/>
        <v>typevarchar_size30</v>
      </c>
      <c r="X97" s="53" t="str">
        <f t="shared" si="15"/>
        <v/>
      </c>
      <c r="Y97" s="53">
        <f t="shared" si="17"/>
        <v>0</v>
      </c>
      <c r="Z97" s="7">
        <f>IF($B97="",0,INDEX(Tables!$B:$B,MATCH($B97,Tables!$F:$F,0)))</f>
        <v>9</v>
      </c>
      <c r="AA97" s="7" t="str">
        <f>IF($T97="","",INDEX(Tables!$B:$B,MATCH($T97,Tables!$F:$F,0)))</f>
        <v/>
      </c>
      <c r="AB97" s="7">
        <f t="shared" si="11"/>
        <v>0</v>
      </c>
      <c r="AC97" s="7">
        <f t="shared" si="12"/>
        <v>0</v>
      </c>
      <c r="AD97" s="54">
        <f t="shared" si="13"/>
        <v>0</v>
      </c>
      <c r="AE97" s="2" t="s">
        <v>108</v>
      </c>
      <c r="AF97" t="s">
        <v>452</v>
      </c>
      <c r="AH97" s="2" t="s">
        <v>559</v>
      </c>
    </row>
    <row r="98" spans="1:34" x14ac:dyDescent="0.25">
      <c r="A98" s="5">
        <f>IF(B98="","",MAX($A$1:$A97)+1)</f>
        <v>97</v>
      </c>
      <c r="B98" s="8" t="s">
        <v>357</v>
      </c>
      <c r="C98" s="7">
        <f>IF(B98="","",MATCH(B98,Tables!F:F,0))</f>
        <v>10</v>
      </c>
      <c r="D98" s="3" t="str" cm="1">
        <f t="array" ref="D98">IF(C98="","",IF(ISERROR(C98),"",INDEX(Tables!E:E,C98)))</f>
        <v>cll</v>
      </c>
      <c r="E98" t="s">
        <v>139</v>
      </c>
      <c r="F98" s="1" t="str">
        <f t="shared" si="10"/>
        <v>cllType</v>
      </c>
      <c r="G98" t="s">
        <v>243</v>
      </c>
      <c r="H98" s="17">
        <v>1</v>
      </c>
      <c r="K98" s="2" t="s">
        <v>46</v>
      </c>
      <c r="N98" s="2" t="s">
        <v>46</v>
      </c>
      <c r="S98" t="s">
        <v>259</v>
      </c>
      <c r="V98" s="1" t="str">
        <f t="shared" si="14"/>
        <v/>
      </c>
      <c r="W98" s="53" t="str">
        <f t="shared" si="16"/>
        <v>typeint_size1_unsigned</v>
      </c>
      <c r="X98" s="53" t="str">
        <f t="shared" si="15"/>
        <v/>
      </c>
      <c r="Y98" s="53">
        <f t="shared" si="17"/>
        <v>0</v>
      </c>
      <c r="Z98" s="7">
        <f>IF($B98="",0,INDEX(Tables!$B:$B,MATCH($B98,Tables!$F:$F,0)))</f>
        <v>9</v>
      </c>
      <c r="AA98" s="7" t="str">
        <f>IF($T98="","",INDEX(Tables!$B:$B,MATCH($T98,Tables!$F:$F,0)))</f>
        <v/>
      </c>
      <c r="AB98" s="7">
        <f t="shared" si="11"/>
        <v>0</v>
      </c>
      <c r="AC98" s="7">
        <f t="shared" si="12"/>
        <v>0</v>
      </c>
      <c r="AD98" s="54">
        <f t="shared" si="13"/>
        <v>0</v>
      </c>
      <c r="AE98" s="2" t="s">
        <v>107</v>
      </c>
      <c r="AF98" t="s">
        <v>451</v>
      </c>
      <c r="AH98" s="2" t="s">
        <v>560</v>
      </c>
    </row>
    <row r="99" spans="1:34" hidden="1" x14ac:dyDescent="0.25">
      <c r="A99" s="5">
        <f>IF(B99="","",MAX($A$1:$A98)+1)</f>
        <v>98</v>
      </c>
      <c r="B99" s="8" t="s">
        <v>357</v>
      </c>
      <c r="C99" s="7">
        <f>IF(B99="","",MATCH(B99,Tables!F:F,0))</f>
        <v>10</v>
      </c>
      <c r="D99" s="3" t="str" cm="1">
        <f t="array" ref="D99">IF(C99="","",IF(ISERROR(C99),"",INDEX(Tables!E:E,C99)))</f>
        <v>cll</v>
      </c>
      <c r="E99" t="s">
        <v>508</v>
      </c>
      <c r="F99" s="1" t="str">
        <f t="shared" si="10"/>
        <v>cllResume</v>
      </c>
      <c r="G99" t="s">
        <v>248</v>
      </c>
      <c r="H99" s="17">
        <v>20</v>
      </c>
      <c r="I99"/>
      <c r="K99" s="2" t="s">
        <v>46</v>
      </c>
      <c r="S99" t="s">
        <v>509</v>
      </c>
      <c r="V99" s="1" t="str">
        <f t="shared" si="14"/>
        <v/>
      </c>
      <c r="W99" s="53" t="str">
        <f t="shared" si="16"/>
        <v>typevarchar_size20</v>
      </c>
      <c r="X99" s="53" t="str">
        <f t="shared" si="15"/>
        <v/>
      </c>
      <c r="Y99" s="53">
        <f t="shared" si="17"/>
        <v>0</v>
      </c>
      <c r="Z99" s="7">
        <f>IF($B99="",0,INDEX(Tables!$B:$B,MATCH($B99,Tables!$F:$F,0)))</f>
        <v>9</v>
      </c>
      <c r="AA99" s="7" t="str">
        <f>IF($T99="","",INDEX(Tables!$B:$B,MATCH($T99,Tables!$F:$F,0)))</f>
        <v/>
      </c>
      <c r="AB99" s="7">
        <f t="shared" si="11"/>
        <v>0</v>
      </c>
      <c r="AC99" s="7">
        <f t="shared" si="12"/>
        <v>0</v>
      </c>
      <c r="AD99" s="54">
        <f t="shared" si="13"/>
        <v>0</v>
      </c>
      <c r="AE99" s="2" t="s">
        <v>108</v>
      </c>
      <c r="AF99" t="s">
        <v>47</v>
      </c>
    </row>
    <row r="100" spans="1:34" x14ac:dyDescent="0.25">
      <c r="A100" s="5">
        <f>IF(B100="","",MAX($A$1:$A99)+1)</f>
        <v>99</v>
      </c>
      <c r="B100" s="8" t="s">
        <v>357</v>
      </c>
      <c r="C100" s="7">
        <f>IF(B100="","",MATCH(B100,Tables!F:F,0))</f>
        <v>10</v>
      </c>
      <c r="D100" s="3" t="str" cm="1">
        <f t="array" ref="D100">IF(C100="","",IF(ISERROR(C100),"",INDEX(Tables!E:E,C100)))</f>
        <v>cll</v>
      </c>
      <c r="E100" t="s">
        <v>162</v>
      </c>
      <c r="F100" s="1" t="str">
        <f t="shared" si="10"/>
        <v>cllToUser</v>
      </c>
      <c r="G100" t="s">
        <v>243</v>
      </c>
      <c r="H100" s="17">
        <v>5</v>
      </c>
      <c r="K100" s="2" t="s">
        <v>46</v>
      </c>
      <c r="N100" s="2" t="s">
        <v>46</v>
      </c>
      <c r="S100" t="s">
        <v>260</v>
      </c>
      <c r="T100" s="8" t="s">
        <v>228</v>
      </c>
      <c r="U100" s="8" t="s">
        <v>232</v>
      </c>
      <c r="V100" s="1" t="str">
        <f t="shared" si="14"/>
        <v>FK_cllToUser_usrSystemIdx</v>
      </c>
      <c r="W100" s="53" t="str">
        <f t="shared" si="16"/>
        <v>typeint_size5_unsigned</v>
      </c>
      <c r="X100" s="53" t="str">
        <f t="shared" si="15"/>
        <v>typeint_size5_unsigned</v>
      </c>
      <c r="Y100" s="53">
        <f t="shared" si="17"/>
        <v>0</v>
      </c>
      <c r="Z100" s="7">
        <f>IF($B100="",0,INDEX(Tables!$B:$B,MATCH($B100,Tables!$F:$F,0)))</f>
        <v>9</v>
      </c>
      <c r="AA100" s="7">
        <f>IF($T100="","",INDEX(Tables!$B:$B,MATCH($T100,Tables!$F:$F,0)))</f>
        <v>0</v>
      </c>
      <c r="AB100" s="7">
        <f t="shared" si="11"/>
        <v>0</v>
      </c>
      <c r="AC100" s="7">
        <f t="shared" si="12"/>
        <v>0</v>
      </c>
      <c r="AD100" s="54">
        <f t="shared" si="13"/>
        <v>0</v>
      </c>
      <c r="AE100" s="2" t="s">
        <v>107</v>
      </c>
      <c r="AF100" t="s">
        <v>461</v>
      </c>
      <c r="AH100" s="2" t="s">
        <v>560</v>
      </c>
    </row>
    <row r="101" spans="1:34" x14ac:dyDescent="0.25">
      <c r="A101" s="5">
        <f>IF(B101="","",MAX($A$1:$A100)+1)</f>
        <v>100</v>
      </c>
      <c r="B101" s="8" t="s">
        <v>357</v>
      </c>
      <c r="C101" s="7">
        <f>IF(B101="","",MATCH(B101,Tables!F:F,0))</f>
        <v>10</v>
      </c>
      <c r="D101" s="3" t="str" cm="1">
        <f t="array" ref="D101">IF(C101="","",IF(ISERROR(C101),"",INDEX(Tables!E:E,C101)))</f>
        <v>cll</v>
      </c>
      <c r="E101" t="s">
        <v>134</v>
      </c>
      <c r="F101" s="1" t="str">
        <f t="shared" si="10"/>
        <v>cllStatus</v>
      </c>
      <c r="G101" t="s">
        <v>243</v>
      </c>
      <c r="H101" s="17">
        <v>1</v>
      </c>
      <c r="K101" s="2" t="s">
        <v>46</v>
      </c>
      <c r="N101" s="2" t="s">
        <v>46</v>
      </c>
      <c r="S101" t="s">
        <v>261</v>
      </c>
      <c r="V101" s="1" t="str">
        <f t="shared" si="14"/>
        <v/>
      </c>
      <c r="W101" s="53" t="str">
        <f t="shared" si="16"/>
        <v>typeint_size1_unsigned</v>
      </c>
      <c r="X101" s="53" t="str">
        <f t="shared" si="15"/>
        <v/>
      </c>
      <c r="Y101" s="53">
        <f t="shared" si="17"/>
        <v>0</v>
      </c>
      <c r="Z101" s="7">
        <f>IF($B101="",0,INDEX(Tables!$B:$B,MATCH($B101,Tables!$F:$F,0)))</f>
        <v>9</v>
      </c>
      <c r="AA101" s="7" t="str">
        <f>IF($T101="","",INDEX(Tables!$B:$B,MATCH($T101,Tables!$F:$F,0)))</f>
        <v/>
      </c>
      <c r="AB101" s="7">
        <f t="shared" si="11"/>
        <v>0</v>
      </c>
      <c r="AC101" s="7">
        <f t="shared" si="12"/>
        <v>0</v>
      </c>
      <c r="AD101" s="54">
        <f t="shared" si="13"/>
        <v>0</v>
      </c>
      <c r="AE101" s="2" t="s">
        <v>107</v>
      </c>
      <c r="AF101" t="s">
        <v>134</v>
      </c>
      <c r="AH101" s="2" t="s">
        <v>560</v>
      </c>
    </row>
    <row r="102" spans="1:34" hidden="1" x14ac:dyDescent="0.25">
      <c r="A102" s="5">
        <f>IF(B102="","",MAX($A$1:$A101)+1)</f>
        <v>101</v>
      </c>
      <c r="B102" s="8" t="s">
        <v>357</v>
      </c>
      <c r="C102" s="7">
        <f>IF(B102="","",MATCH(B102,Tables!F:F,0))</f>
        <v>10</v>
      </c>
      <c r="D102" s="3" t="str" cm="1">
        <f t="array" ref="D102">IF(C102="","",IF(ISERROR(C102),"",INDEX(Tables!E:E,C102)))</f>
        <v>cll</v>
      </c>
      <c r="E102" t="s">
        <v>110</v>
      </c>
      <c r="F102" s="1" t="str">
        <f t="shared" si="10"/>
        <v>cllSystemActive</v>
      </c>
      <c r="G102" t="s">
        <v>245</v>
      </c>
      <c r="H102" s="17">
        <v>1</v>
      </c>
      <c r="R102" s="2" t="s">
        <v>116</v>
      </c>
      <c r="S102" t="s">
        <v>119</v>
      </c>
      <c r="V102" s="1" t="str">
        <f t="shared" si="14"/>
        <v/>
      </c>
      <c r="W102" s="53" t="str">
        <f t="shared" si="16"/>
        <v>typebit_size1</v>
      </c>
      <c r="X102" s="53" t="str">
        <f t="shared" si="15"/>
        <v/>
      </c>
      <c r="Y102" s="53">
        <f t="shared" si="17"/>
        <v>0</v>
      </c>
      <c r="Z102" s="7">
        <f>IF($B102="",0,INDEX(Tables!$B:$B,MATCH($B102,Tables!$F:$F,0)))</f>
        <v>9</v>
      </c>
      <c r="AA102" s="7" t="str">
        <f>IF($T102="","",INDEX(Tables!$B:$B,MATCH($T102,Tables!$F:$F,0)))</f>
        <v/>
      </c>
      <c r="AB102" s="7">
        <f t="shared" si="11"/>
        <v>0</v>
      </c>
      <c r="AC102" s="7">
        <f t="shared" si="12"/>
        <v>0</v>
      </c>
      <c r="AD102" s="54">
        <f t="shared" si="13"/>
        <v>0</v>
      </c>
      <c r="AE102" s="2" t="s">
        <v>115</v>
      </c>
      <c r="AF102" t="s">
        <v>119</v>
      </c>
    </row>
    <row r="103" spans="1:34" hidden="1" x14ac:dyDescent="0.25">
      <c r="A103" s="5">
        <f>IF(B103="","",MAX($A$1:$A102)+1)</f>
        <v>102</v>
      </c>
      <c r="B103" s="8" t="s">
        <v>357</v>
      </c>
      <c r="C103" s="7">
        <f>IF(B103="","",MATCH(B103,Tables!F:F,0))</f>
        <v>10</v>
      </c>
      <c r="D103" s="3" t="str" cm="1">
        <f t="array" ref="D103">IF(C103="","",IF(ISERROR(C103),"",INDEX(Tables!E:E,C103)))</f>
        <v>cll</v>
      </c>
      <c r="E103" t="s">
        <v>111</v>
      </c>
      <c r="F103" s="1" t="str">
        <f t="shared" si="10"/>
        <v>cllSystemCreationDt</v>
      </c>
      <c r="G103" t="s">
        <v>297</v>
      </c>
      <c r="H103"/>
      <c r="I103"/>
      <c r="R103" s="2" t="s">
        <v>117</v>
      </c>
      <c r="S103" t="s">
        <v>120</v>
      </c>
      <c r="V103" s="1" t="str">
        <f t="shared" si="14"/>
        <v/>
      </c>
      <c r="W103" s="53" t="str">
        <f t="shared" si="16"/>
        <v>typeDATETIME_size</v>
      </c>
      <c r="X103" s="53" t="str">
        <f t="shared" si="15"/>
        <v/>
      </c>
      <c r="Y103" s="53">
        <f t="shared" si="17"/>
        <v>0</v>
      </c>
      <c r="Z103" s="7">
        <f>IF($B103="",0,INDEX(Tables!$B:$B,MATCH($B103,Tables!$F:$F,0)))</f>
        <v>9</v>
      </c>
      <c r="AA103" s="7" t="str">
        <f>IF($T103="","",INDEX(Tables!$B:$B,MATCH($T103,Tables!$F:$F,0)))</f>
        <v/>
      </c>
      <c r="AB103" s="7">
        <f t="shared" si="11"/>
        <v>0</v>
      </c>
      <c r="AC103" s="7">
        <f t="shared" si="12"/>
        <v>0</v>
      </c>
      <c r="AD103" s="54">
        <f t="shared" si="13"/>
        <v>0</v>
      </c>
      <c r="AE103" s="2" t="s">
        <v>109</v>
      </c>
      <c r="AF103" t="s">
        <v>120</v>
      </c>
    </row>
    <row r="104" spans="1:34" hidden="1" x14ac:dyDescent="0.25">
      <c r="A104" s="5">
        <f>IF(B104="","",MAX($A$1:$A103)+1)</f>
        <v>103</v>
      </c>
      <c r="B104" s="8" t="s">
        <v>357</v>
      </c>
      <c r="C104" s="7">
        <f>IF(B104="","",MATCH(B104,Tables!F:F,0))</f>
        <v>10</v>
      </c>
      <c r="D104" s="3" t="str" cm="1">
        <f t="array" ref="D104">IF(C104="","",IF(ISERROR(C104),"",INDEX(Tables!E:E,C104)))</f>
        <v>cll</v>
      </c>
      <c r="E104" t="s">
        <v>112</v>
      </c>
      <c r="F104" s="1" t="str">
        <f t="shared" si="10"/>
        <v>cllSystemCreationID</v>
      </c>
      <c r="G104" t="s">
        <v>243</v>
      </c>
      <c r="H104" s="17">
        <v>5</v>
      </c>
      <c r="K104" s="2" t="s">
        <v>46</v>
      </c>
      <c r="N104" s="2" t="s">
        <v>46</v>
      </c>
      <c r="S104" t="s">
        <v>121</v>
      </c>
      <c r="T104" s="8" t="s">
        <v>228</v>
      </c>
      <c r="U104" s="8" t="s">
        <v>232</v>
      </c>
      <c r="V104" s="1" t="str">
        <f t="shared" si="14"/>
        <v>FK_cllSystemCreationID_usrSystemIdx</v>
      </c>
      <c r="W104" s="53" t="str">
        <f t="shared" si="16"/>
        <v>typeint_size5_unsigned</v>
      </c>
      <c r="X104" s="53" t="str">
        <f t="shared" si="15"/>
        <v>typeint_size5_unsigned</v>
      </c>
      <c r="Y104" s="53">
        <f t="shared" si="17"/>
        <v>0</v>
      </c>
      <c r="Z104" s="7">
        <f>IF($B104="",0,INDEX(Tables!$B:$B,MATCH($B104,Tables!$F:$F,0)))</f>
        <v>9</v>
      </c>
      <c r="AA104" s="7">
        <f>IF($T104="","",INDEX(Tables!$B:$B,MATCH($T104,Tables!$F:$F,0)))</f>
        <v>0</v>
      </c>
      <c r="AB104" s="7">
        <f t="shared" si="11"/>
        <v>0</v>
      </c>
      <c r="AC104" s="7">
        <f t="shared" si="12"/>
        <v>0</v>
      </c>
      <c r="AD104" s="54">
        <f t="shared" si="13"/>
        <v>0</v>
      </c>
      <c r="AE104" s="2" t="s">
        <v>107</v>
      </c>
      <c r="AF104" t="s">
        <v>444</v>
      </c>
    </row>
    <row r="105" spans="1:34" hidden="1" x14ac:dyDescent="0.25">
      <c r="A105" s="5">
        <f>IF(B105="","",MAX($A$1:$A104)+1)</f>
        <v>104</v>
      </c>
      <c r="B105" s="8" t="s">
        <v>357</v>
      </c>
      <c r="C105" s="7">
        <f>IF(B105="","",MATCH(B105,Tables!F:F,0))</f>
        <v>10</v>
      </c>
      <c r="D105" s="3" t="str" cm="1">
        <f t="array" ref="D105">IF(C105="","",IF(ISERROR(C105),"",INDEX(Tables!E:E,C105)))</f>
        <v>cll</v>
      </c>
      <c r="E105" t="s">
        <v>113</v>
      </c>
      <c r="F105" s="1" t="str">
        <f t="shared" si="10"/>
        <v>cllSystemLastUpdateDt</v>
      </c>
      <c r="G105" t="s">
        <v>297</v>
      </c>
      <c r="H105"/>
      <c r="I105"/>
      <c r="R105" s="2" t="s">
        <v>118</v>
      </c>
      <c r="S105" t="s">
        <v>122</v>
      </c>
      <c r="V105" s="1" t="str">
        <f t="shared" si="14"/>
        <v/>
      </c>
      <c r="W105" s="53" t="str">
        <f t="shared" si="16"/>
        <v>typeDATETIME_size</v>
      </c>
      <c r="X105" s="53" t="str">
        <f t="shared" si="15"/>
        <v/>
      </c>
      <c r="Y105" s="53">
        <f t="shared" si="17"/>
        <v>0</v>
      </c>
      <c r="Z105" s="7">
        <f>IF($B105="",0,INDEX(Tables!$B:$B,MATCH($B105,Tables!$F:$F,0)))</f>
        <v>9</v>
      </c>
      <c r="AA105" s="7" t="str">
        <f>IF($T105="","",INDEX(Tables!$B:$B,MATCH($T105,Tables!$F:$F,0)))</f>
        <v/>
      </c>
      <c r="AB105" s="7">
        <f t="shared" si="11"/>
        <v>0</v>
      </c>
      <c r="AC105" s="7">
        <f t="shared" si="12"/>
        <v>0</v>
      </c>
      <c r="AD105" s="54">
        <f t="shared" si="13"/>
        <v>0</v>
      </c>
      <c r="AE105" s="2" t="s">
        <v>109</v>
      </c>
      <c r="AF105" t="s">
        <v>445</v>
      </c>
    </row>
    <row r="106" spans="1:34" hidden="1" x14ac:dyDescent="0.25">
      <c r="A106" s="5">
        <f>IF(B106="","",MAX($A$1:$A105)+1)</f>
        <v>105</v>
      </c>
      <c r="B106" s="8" t="s">
        <v>357</v>
      </c>
      <c r="C106" s="7">
        <f>IF(B106="","",MATCH(B106,Tables!F:F,0))</f>
        <v>10</v>
      </c>
      <c r="D106" s="3" t="str" cm="1">
        <f t="array" ref="D106">IF(C106="","",IF(ISERROR(C106),"",INDEX(Tables!E:E,C106)))</f>
        <v>cll</v>
      </c>
      <c r="E106" t="s">
        <v>114</v>
      </c>
      <c r="F106" s="1" t="str">
        <f t="shared" si="10"/>
        <v>cllSystemLastUpdateID</v>
      </c>
      <c r="G106" t="s">
        <v>243</v>
      </c>
      <c r="H106" s="17">
        <v>5</v>
      </c>
      <c r="N106" s="2" t="s">
        <v>46</v>
      </c>
      <c r="R106" s="2" t="s">
        <v>118</v>
      </c>
      <c r="S106" t="s">
        <v>123</v>
      </c>
      <c r="T106" s="8" t="s">
        <v>228</v>
      </c>
      <c r="U106" s="8" t="s">
        <v>232</v>
      </c>
      <c r="V106" s="1" t="str">
        <f t="shared" si="14"/>
        <v>FK_cllSystemLastUpdateID_usrSystemIdx</v>
      </c>
      <c r="W106" s="53" t="str">
        <f t="shared" si="16"/>
        <v>typeint_size5_unsigned</v>
      </c>
      <c r="X106" s="53" t="str">
        <f t="shared" si="15"/>
        <v>typeint_size5_unsigned</v>
      </c>
      <c r="Y106" s="53">
        <f t="shared" si="17"/>
        <v>0</v>
      </c>
      <c r="Z106" s="7">
        <f>IF($B106="",0,INDEX(Tables!$B:$B,MATCH($B106,Tables!$F:$F,0)))</f>
        <v>9</v>
      </c>
      <c r="AA106" s="7">
        <f>IF($T106="","",INDEX(Tables!$B:$B,MATCH($T106,Tables!$F:$F,0)))</f>
        <v>0</v>
      </c>
      <c r="AB106" s="7">
        <f t="shared" si="11"/>
        <v>0</v>
      </c>
      <c r="AC106" s="7">
        <f t="shared" si="12"/>
        <v>0</v>
      </c>
      <c r="AD106" s="54">
        <f t="shared" si="13"/>
        <v>0</v>
      </c>
      <c r="AE106" s="2" t="s">
        <v>107</v>
      </c>
      <c r="AF106" t="s">
        <v>443</v>
      </c>
    </row>
    <row r="107" spans="1:34" hidden="1" x14ac:dyDescent="0.25">
      <c r="A107" s="5">
        <f>IF(B107="","",MAX($A$1:$A106)+1)</f>
        <v>106</v>
      </c>
      <c r="B107" s="8" t="s">
        <v>228</v>
      </c>
      <c r="C107" s="7">
        <f>IF(B107="","",MATCH(B107,Tables!F:F,0))</f>
        <v>20</v>
      </c>
      <c r="D107" s="3" t="str" cm="1">
        <f t="array" ref="D107">IF(C107="","",IF(ISERROR(C107),"",INDEX(Tables!E:E,C107)))</f>
        <v>usr</v>
      </c>
      <c r="E107" t="s">
        <v>218</v>
      </c>
      <c r="F107" s="1" t="str">
        <f t="shared" si="10"/>
        <v>usrSystemIdx</v>
      </c>
      <c r="G107" t="s">
        <v>243</v>
      </c>
      <c r="H107" s="17">
        <v>5</v>
      </c>
      <c r="J107" s="2" t="s">
        <v>46</v>
      </c>
      <c r="K107" s="2" t="s">
        <v>46</v>
      </c>
      <c r="L107" s="2" t="s">
        <v>46</v>
      </c>
      <c r="N107" s="2" t="s">
        <v>46</v>
      </c>
      <c r="P107" s="2" t="s">
        <v>46</v>
      </c>
      <c r="S107" t="s">
        <v>165</v>
      </c>
      <c r="V107" s="1" t="str">
        <f t="shared" si="14"/>
        <v/>
      </c>
      <c r="W107" s="53" t="str">
        <f t="shared" si="16"/>
        <v>typeint_size5_unsigned</v>
      </c>
      <c r="X107" s="53" t="str">
        <f t="shared" si="15"/>
        <v/>
      </c>
      <c r="Y107" s="53">
        <f t="shared" si="17"/>
        <v>0</v>
      </c>
      <c r="Z107" s="7">
        <f>IF($B107="",0,INDEX(Tables!$B:$B,MATCH($B107,Tables!$F:$F,0)))</f>
        <v>0</v>
      </c>
      <c r="AA107" s="7" t="str">
        <f>IF($T107="","",INDEX(Tables!$B:$B,MATCH($T107,Tables!$F:$F,0)))</f>
        <v/>
      </c>
      <c r="AB107" s="7">
        <f t="shared" si="11"/>
        <v>0</v>
      </c>
      <c r="AC107" s="7">
        <f t="shared" si="12"/>
        <v>0</v>
      </c>
      <c r="AD107" s="54">
        <f t="shared" si="13"/>
        <v>0</v>
      </c>
      <c r="AE107" s="2" t="s">
        <v>107</v>
      </c>
      <c r="AF107" t="s">
        <v>414</v>
      </c>
    </row>
    <row r="108" spans="1:34" x14ac:dyDescent="0.25">
      <c r="A108" s="5">
        <f>IF(B108="","",MAX($A$1:$A107)+1)</f>
        <v>107</v>
      </c>
      <c r="B108" s="8" t="s">
        <v>228</v>
      </c>
      <c r="C108" s="7">
        <f>IF(B108="","",MATCH(B108,Tables!F:F,0))</f>
        <v>20</v>
      </c>
      <c r="D108" s="3" t="str" cm="1">
        <f t="array" ref="D108">IF(C108="","",IF(ISERROR(C108),"",INDEX(Tables!E:E,C108)))</f>
        <v>usr</v>
      </c>
      <c r="E108" t="s">
        <v>48</v>
      </c>
      <c r="F108" s="1" t="str">
        <f t="shared" si="10"/>
        <v>usrParticName</v>
      </c>
      <c r="G108" t="s">
        <v>248</v>
      </c>
      <c r="H108">
        <v>100</v>
      </c>
      <c r="I108"/>
      <c r="K108" s="2" t="s">
        <v>46</v>
      </c>
      <c r="L108" s="2" t="s">
        <v>46</v>
      </c>
      <c r="S108" t="s">
        <v>262</v>
      </c>
      <c r="V108" s="1" t="str">
        <f t="shared" si="14"/>
        <v/>
      </c>
      <c r="W108" s="53" t="str">
        <f t="shared" si="16"/>
        <v>typevarchar_size100</v>
      </c>
      <c r="X108" s="53" t="str">
        <f t="shared" si="15"/>
        <v/>
      </c>
      <c r="Y108" s="53">
        <f t="shared" si="17"/>
        <v>0</v>
      </c>
      <c r="Z108" s="7">
        <f>IF($B108="",0,INDEX(Tables!$B:$B,MATCH($B108,Tables!$F:$F,0)))</f>
        <v>0</v>
      </c>
      <c r="AA108" s="7" t="str">
        <f>IF($T108="","",INDEX(Tables!$B:$B,MATCH($T108,Tables!$F:$F,0)))</f>
        <v/>
      </c>
      <c r="AB108" s="7">
        <f t="shared" si="11"/>
        <v>0</v>
      </c>
      <c r="AC108" s="7">
        <f t="shared" si="12"/>
        <v>0</v>
      </c>
      <c r="AD108" s="54">
        <f t="shared" si="13"/>
        <v>0</v>
      </c>
      <c r="AE108" s="2" t="s">
        <v>108</v>
      </c>
      <c r="AF108" t="s">
        <v>417</v>
      </c>
      <c r="AH108" s="2" t="s">
        <v>559</v>
      </c>
    </row>
    <row r="109" spans="1:34" x14ac:dyDescent="0.25">
      <c r="A109" s="5">
        <f>IF(B109="","",MAX($A$1:$A108)+1)</f>
        <v>108</v>
      </c>
      <c r="B109" s="8" t="s">
        <v>228</v>
      </c>
      <c r="C109" s="7">
        <f>IF(B109="","",MATCH(B109,Tables!F:F,0))</f>
        <v>20</v>
      </c>
      <c r="D109" s="3" t="str" cm="1">
        <f t="array" ref="D109">IF(C109="","",IF(ISERROR(C109),"",INDEX(Tables!E:E,C109)))</f>
        <v>usr</v>
      </c>
      <c r="E109" t="s">
        <v>51</v>
      </c>
      <c r="F109" s="1" t="str">
        <f t="shared" si="10"/>
        <v>usrParticMail</v>
      </c>
      <c r="G109" t="s">
        <v>248</v>
      </c>
      <c r="H109">
        <v>100</v>
      </c>
      <c r="I109"/>
      <c r="K109" s="2" t="s">
        <v>46</v>
      </c>
      <c r="L109" s="2" t="s">
        <v>46</v>
      </c>
      <c r="S109" t="s">
        <v>263</v>
      </c>
      <c r="V109" s="1" t="str">
        <f t="shared" si="14"/>
        <v/>
      </c>
      <c r="W109" s="53" t="str">
        <f t="shared" si="16"/>
        <v>typevarchar_size100</v>
      </c>
      <c r="X109" s="53" t="str">
        <f t="shared" si="15"/>
        <v/>
      </c>
      <c r="Y109" s="53">
        <f t="shared" si="17"/>
        <v>0</v>
      </c>
      <c r="Z109" s="7">
        <f>IF($B109="",0,INDEX(Tables!$B:$B,MATCH($B109,Tables!$F:$F,0)))</f>
        <v>0</v>
      </c>
      <c r="AA109" s="7" t="str">
        <f>IF($T109="","",INDEX(Tables!$B:$B,MATCH($T109,Tables!$F:$F,0)))</f>
        <v/>
      </c>
      <c r="AB109" s="7">
        <f t="shared" si="11"/>
        <v>0</v>
      </c>
      <c r="AC109" s="7">
        <f t="shared" si="12"/>
        <v>0</v>
      </c>
      <c r="AD109" s="54">
        <f t="shared" si="13"/>
        <v>0</v>
      </c>
      <c r="AE109" s="2" t="s">
        <v>108</v>
      </c>
      <c r="AF109" t="s">
        <v>419</v>
      </c>
      <c r="AH109" s="2" t="s">
        <v>559</v>
      </c>
    </row>
    <row r="110" spans="1:34" hidden="1" x14ac:dyDescent="0.25">
      <c r="A110" s="5">
        <f>IF(B110="","",MAX($A$1:$A109)+1)</f>
        <v>109</v>
      </c>
      <c r="B110" s="8" t="s">
        <v>228</v>
      </c>
      <c r="C110" s="7">
        <f>IF(B110="","",MATCH(B110,Tables!F:F,0))</f>
        <v>20</v>
      </c>
      <c r="D110" s="3" t="str" cm="1">
        <f t="array" ref="D110">IF(C110="","",IF(ISERROR(C110),"",INDEX(Tables!E:E,C110)))</f>
        <v>usr</v>
      </c>
      <c r="E110" t="s">
        <v>53</v>
      </c>
      <c r="F110" s="1" t="str">
        <f t="shared" si="10"/>
        <v>usrParticPass</v>
      </c>
      <c r="G110" t="s">
        <v>77</v>
      </c>
      <c r="H110"/>
      <c r="I110"/>
      <c r="K110" s="2" t="s">
        <v>46</v>
      </c>
      <c r="S110" t="s">
        <v>264</v>
      </c>
      <c r="V110" s="1" t="str">
        <f t="shared" si="14"/>
        <v/>
      </c>
      <c r="W110" s="53" t="str">
        <f t="shared" si="16"/>
        <v>typetext_size</v>
      </c>
      <c r="X110" s="53" t="str">
        <f t="shared" si="15"/>
        <v/>
      </c>
      <c r="Y110" s="53">
        <f t="shared" si="17"/>
        <v>0</v>
      </c>
      <c r="Z110" s="7">
        <f>IF($B110="",0,INDEX(Tables!$B:$B,MATCH($B110,Tables!$F:$F,0)))</f>
        <v>0</v>
      </c>
      <c r="AA110" s="7" t="str">
        <f>IF($T110="","",INDEX(Tables!$B:$B,MATCH($T110,Tables!$F:$F,0)))</f>
        <v/>
      </c>
      <c r="AB110" s="7">
        <f t="shared" si="11"/>
        <v>0</v>
      </c>
      <c r="AC110" s="7">
        <f t="shared" si="12"/>
        <v>0</v>
      </c>
      <c r="AD110" s="54">
        <f t="shared" si="13"/>
        <v>0</v>
      </c>
      <c r="AE110" s="2" t="s">
        <v>108</v>
      </c>
      <c r="AF110" t="s">
        <v>424</v>
      </c>
    </row>
    <row r="111" spans="1:34" hidden="1" x14ac:dyDescent="0.25">
      <c r="A111" s="5">
        <f>IF(B111="","",MAX($A$1:$A110)+1)</f>
        <v>110</v>
      </c>
      <c r="B111" s="8" t="s">
        <v>228</v>
      </c>
      <c r="C111" s="7">
        <f>IF(B111="","",MATCH(B111,Tables!F:F,0))</f>
        <v>20</v>
      </c>
      <c r="D111" s="3" t="str" cm="1">
        <f t="array" ref="D111">IF(C111="","",IF(ISERROR(C111),"",INDEX(Tables!E:E,C111)))</f>
        <v>usr</v>
      </c>
      <c r="E111" t="s">
        <v>362</v>
      </c>
      <c r="F111" s="1" t="str">
        <f t="shared" si="10"/>
        <v>usrIsAdm</v>
      </c>
      <c r="G111" t="s">
        <v>245</v>
      </c>
      <c r="H111" s="17">
        <v>1</v>
      </c>
      <c r="R111" s="2" t="s">
        <v>163</v>
      </c>
      <c r="S111" t="s">
        <v>265</v>
      </c>
      <c r="V111" s="1" t="str">
        <f t="shared" si="14"/>
        <v/>
      </c>
      <c r="W111" s="53" t="str">
        <f t="shared" si="16"/>
        <v>typebit_size1</v>
      </c>
      <c r="X111" s="53" t="str">
        <f t="shared" si="15"/>
        <v/>
      </c>
      <c r="Y111" s="53">
        <f t="shared" si="17"/>
        <v>0</v>
      </c>
      <c r="Z111" s="7">
        <f>IF($B111="",0,INDEX(Tables!$B:$B,MATCH($B111,Tables!$F:$F,0)))</f>
        <v>0</v>
      </c>
      <c r="AA111" s="7" t="str">
        <f>IF($T111="","",INDEX(Tables!$B:$B,MATCH($T111,Tables!$F:$F,0)))</f>
        <v/>
      </c>
      <c r="AB111" s="7">
        <f t="shared" si="11"/>
        <v>0</v>
      </c>
      <c r="AC111" s="7">
        <f t="shared" si="12"/>
        <v>0</v>
      </c>
      <c r="AD111" s="54">
        <f t="shared" si="13"/>
        <v>0</v>
      </c>
      <c r="AE111" s="2" t="s">
        <v>115</v>
      </c>
      <c r="AF111" t="s">
        <v>462</v>
      </c>
    </row>
    <row r="112" spans="1:34" hidden="1" x14ac:dyDescent="0.25">
      <c r="A112" s="5">
        <f>IF(B112="","",MAX($A$1:$A111)+1)</f>
        <v>111</v>
      </c>
      <c r="B112" s="8" t="s">
        <v>228</v>
      </c>
      <c r="C112" s="7">
        <f>IF(B112="","",MATCH(B112,Tables!F:F,0))</f>
        <v>20</v>
      </c>
      <c r="D112" s="3" t="str" cm="1">
        <f t="array" ref="D112">IF(C112="","",IF(ISERROR(C112),"",INDEX(Tables!E:E,C112)))</f>
        <v>usr</v>
      </c>
      <c r="E112" t="s">
        <v>110</v>
      </c>
      <c r="F112" s="1" t="str">
        <f t="shared" si="10"/>
        <v>usrSystemActive</v>
      </c>
      <c r="G112" t="s">
        <v>245</v>
      </c>
      <c r="H112" s="17">
        <v>1</v>
      </c>
      <c r="R112" s="2" t="s">
        <v>116</v>
      </c>
      <c r="S112" t="s">
        <v>119</v>
      </c>
      <c r="V112" s="1" t="str">
        <f t="shared" si="14"/>
        <v/>
      </c>
      <c r="W112" s="53" t="str">
        <f t="shared" si="16"/>
        <v>typebit_size1</v>
      </c>
      <c r="X112" s="53" t="str">
        <f t="shared" si="15"/>
        <v/>
      </c>
      <c r="Y112" s="53">
        <f t="shared" si="17"/>
        <v>0</v>
      </c>
      <c r="Z112" s="7">
        <f>IF($B112="",0,INDEX(Tables!$B:$B,MATCH($B112,Tables!$F:$F,0)))</f>
        <v>0</v>
      </c>
      <c r="AA112" s="7" t="str">
        <f>IF($T112="","",INDEX(Tables!$B:$B,MATCH($T112,Tables!$F:$F,0)))</f>
        <v/>
      </c>
      <c r="AB112" s="7">
        <f t="shared" si="11"/>
        <v>0</v>
      </c>
      <c r="AC112" s="7">
        <f t="shared" si="12"/>
        <v>0</v>
      </c>
      <c r="AD112" s="54">
        <f t="shared" si="13"/>
        <v>0</v>
      </c>
      <c r="AE112" s="2" t="s">
        <v>115</v>
      </c>
      <c r="AF112" t="s">
        <v>119</v>
      </c>
    </row>
    <row r="113" spans="1:34" hidden="1" x14ac:dyDescent="0.25">
      <c r="A113" s="5">
        <f>IF(B113="","",MAX($A$1:$A112)+1)</f>
        <v>112</v>
      </c>
      <c r="B113" s="8" t="s">
        <v>228</v>
      </c>
      <c r="C113" s="7">
        <f>IF(B113="","",MATCH(B113,Tables!F:F,0))</f>
        <v>20</v>
      </c>
      <c r="D113" s="3" t="str" cm="1">
        <f t="array" ref="D113">IF(C113="","",IF(ISERROR(C113),"",INDEX(Tables!E:E,C113)))</f>
        <v>usr</v>
      </c>
      <c r="E113" t="s">
        <v>111</v>
      </c>
      <c r="F113" s="1" t="str">
        <f t="shared" si="10"/>
        <v>usrSystemCreationDt</v>
      </c>
      <c r="G113" t="s">
        <v>297</v>
      </c>
      <c r="H113"/>
      <c r="I113"/>
      <c r="R113" s="2" t="s">
        <v>117</v>
      </c>
      <c r="S113" t="s">
        <v>120</v>
      </c>
      <c r="V113" s="1" t="str">
        <f t="shared" si="14"/>
        <v/>
      </c>
      <c r="W113" s="53" t="str">
        <f t="shared" si="16"/>
        <v>typeDATETIME_size</v>
      </c>
      <c r="X113" s="53" t="str">
        <f t="shared" si="15"/>
        <v/>
      </c>
      <c r="Y113" s="53">
        <f t="shared" si="17"/>
        <v>0</v>
      </c>
      <c r="Z113" s="7">
        <f>IF($B113="",0,INDEX(Tables!$B:$B,MATCH($B113,Tables!$F:$F,0)))</f>
        <v>0</v>
      </c>
      <c r="AA113" s="7" t="str">
        <f>IF($T113="","",INDEX(Tables!$B:$B,MATCH($T113,Tables!$F:$F,0)))</f>
        <v/>
      </c>
      <c r="AB113" s="7">
        <f t="shared" si="11"/>
        <v>0</v>
      </c>
      <c r="AC113" s="7">
        <f t="shared" si="12"/>
        <v>0</v>
      </c>
      <c r="AD113" s="54">
        <f t="shared" si="13"/>
        <v>0</v>
      </c>
      <c r="AE113" s="2" t="s">
        <v>109</v>
      </c>
      <c r="AF113" t="s">
        <v>120</v>
      </c>
    </row>
    <row r="114" spans="1:34" hidden="1" x14ac:dyDescent="0.25">
      <c r="A114" s="5">
        <f>IF(B114="","",MAX($A$1:$A113)+1)</f>
        <v>113</v>
      </c>
      <c r="B114" s="8" t="s">
        <v>228</v>
      </c>
      <c r="C114" s="7">
        <f>IF(B114="","",MATCH(B114,Tables!F:F,0))</f>
        <v>20</v>
      </c>
      <c r="D114" s="3" t="str" cm="1">
        <f t="array" ref="D114">IF(C114="","",IF(ISERROR(C114),"",INDEX(Tables!E:E,C114)))</f>
        <v>usr</v>
      </c>
      <c r="E114" t="s">
        <v>112</v>
      </c>
      <c r="F114" s="1" t="str">
        <f t="shared" si="10"/>
        <v>usrSystemCreationID</v>
      </c>
      <c r="G114" t="s">
        <v>243</v>
      </c>
      <c r="H114" s="17">
        <v>5</v>
      </c>
      <c r="N114" s="2" t="s">
        <v>46</v>
      </c>
      <c r="S114" t="s">
        <v>121</v>
      </c>
      <c r="V114" s="1" t="str">
        <f t="shared" si="14"/>
        <v/>
      </c>
      <c r="W114" s="53" t="str">
        <f t="shared" si="16"/>
        <v>typeint_size5_unsigned</v>
      </c>
      <c r="X114" s="53" t="str">
        <f t="shared" si="15"/>
        <v/>
      </c>
      <c r="Y114" s="53">
        <f t="shared" si="17"/>
        <v>0</v>
      </c>
      <c r="Z114" s="7">
        <f>IF($B114="",0,INDEX(Tables!$B:$B,MATCH($B114,Tables!$F:$F,0)))</f>
        <v>0</v>
      </c>
      <c r="AA114" s="7" t="str">
        <f>IF($T114="","",INDEX(Tables!$B:$B,MATCH($T114,Tables!$F:$F,0)))</f>
        <v/>
      </c>
      <c r="AB114" s="7">
        <f t="shared" si="11"/>
        <v>0</v>
      </c>
      <c r="AC114" s="7">
        <f t="shared" si="12"/>
        <v>0</v>
      </c>
      <c r="AD114" s="54">
        <f t="shared" si="13"/>
        <v>0</v>
      </c>
      <c r="AE114" s="2" t="s">
        <v>107</v>
      </c>
      <c r="AF114" t="s">
        <v>444</v>
      </c>
    </row>
    <row r="115" spans="1:34" hidden="1" x14ac:dyDescent="0.25">
      <c r="A115" s="5">
        <f>IF(B115="","",MAX($A$1:$A114)+1)</f>
        <v>114</v>
      </c>
      <c r="B115" s="8" t="s">
        <v>228</v>
      </c>
      <c r="C115" s="7">
        <f>IF(B115="","",MATCH(B115,Tables!F:F,0))</f>
        <v>20</v>
      </c>
      <c r="D115" s="3" t="str" cm="1">
        <f t="array" ref="D115">IF(C115="","",IF(ISERROR(C115),"",INDEX(Tables!E:E,C115)))</f>
        <v>usr</v>
      </c>
      <c r="E115" t="s">
        <v>113</v>
      </c>
      <c r="F115" s="1" t="str">
        <f t="shared" si="10"/>
        <v>usrSystemLastUpdateDt</v>
      </c>
      <c r="G115" t="s">
        <v>297</v>
      </c>
      <c r="H115"/>
      <c r="I115"/>
      <c r="R115" s="2" t="s">
        <v>118</v>
      </c>
      <c r="S115" t="s">
        <v>122</v>
      </c>
      <c r="V115" s="1" t="str">
        <f t="shared" si="14"/>
        <v/>
      </c>
      <c r="W115" s="53" t="str">
        <f t="shared" si="16"/>
        <v>typeDATETIME_size</v>
      </c>
      <c r="X115" s="53" t="str">
        <f t="shared" si="15"/>
        <v/>
      </c>
      <c r="Y115" s="53">
        <f t="shared" si="17"/>
        <v>0</v>
      </c>
      <c r="Z115" s="7">
        <f>IF($B115="",0,INDEX(Tables!$B:$B,MATCH($B115,Tables!$F:$F,0)))</f>
        <v>0</v>
      </c>
      <c r="AA115" s="7" t="str">
        <f>IF($T115="","",INDEX(Tables!$B:$B,MATCH($T115,Tables!$F:$F,0)))</f>
        <v/>
      </c>
      <c r="AB115" s="7">
        <f t="shared" si="11"/>
        <v>0</v>
      </c>
      <c r="AC115" s="7">
        <f t="shared" si="12"/>
        <v>0</v>
      </c>
      <c r="AD115" s="54">
        <f t="shared" si="13"/>
        <v>0</v>
      </c>
      <c r="AE115" s="2" t="s">
        <v>109</v>
      </c>
      <c r="AF115" t="s">
        <v>445</v>
      </c>
    </row>
    <row r="116" spans="1:34" hidden="1" x14ac:dyDescent="0.25">
      <c r="A116" s="5">
        <f>IF(B116="","",MAX($A$1:$A115)+1)</f>
        <v>115</v>
      </c>
      <c r="B116" s="8" t="s">
        <v>228</v>
      </c>
      <c r="C116" s="7">
        <f>IF(B116="","",MATCH(B116,Tables!F:F,0))</f>
        <v>20</v>
      </c>
      <c r="D116" s="3" t="str" cm="1">
        <f t="array" ref="D116">IF(C116="","",IF(ISERROR(C116),"",INDEX(Tables!E:E,C116)))</f>
        <v>usr</v>
      </c>
      <c r="E116" t="s">
        <v>114</v>
      </c>
      <c r="F116" s="1" t="str">
        <f t="shared" si="10"/>
        <v>usrSystemLastUpdateID</v>
      </c>
      <c r="G116" t="s">
        <v>243</v>
      </c>
      <c r="H116" s="17">
        <v>5</v>
      </c>
      <c r="N116" s="2" t="s">
        <v>46</v>
      </c>
      <c r="R116" s="2" t="s">
        <v>118</v>
      </c>
      <c r="S116" t="s">
        <v>123</v>
      </c>
      <c r="V116" s="1" t="str">
        <f t="shared" si="14"/>
        <v/>
      </c>
      <c r="W116" s="53" t="str">
        <f t="shared" si="16"/>
        <v>typeint_size5_unsigned</v>
      </c>
      <c r="X116" s="53" t="str">
        <f t="shared" si="15"/>
        <v/>
      </c>
      <c r="Y116" s="53">
        <f t="shared" si="17"/>
        <v>0</v>
      </c>
      <c r="Z116" s="7">
        <f>IF($B116="",0,INDEX(Tables!$B:$B,MATCH($B116,Tables!$F:$F,0)))</f>
        <v>0</v>
      </c>
      <c r="AA116" s="7" t="str">
        <f>IF($T116="","",INDEX(Tables!$B:$B,MATCH($T116,Tables!$F:$F,0)))</f>
        <v/>
      </c>
      <c r="AB116" s="7">
        <f t="shared" si="11"/>
        <v>0</v>
      </c>
      <c r="AC116" s="7">
        <f t="shared" si="12"/>
        <v>0</v>
      </c>
      <c r="AD116" s="54">
        <f t="shared" si="13"/>
        <v>0</v>
      </c>
      <c r="AE116" s="2" t="s">
        <v>107</v>
      </c>
      <c r="AF116" t="s">
        <v>443</v>
      </c>
    </row>
    <row r="117" spans="1:34" hidden="1" x14ac:dyDescent="0.25">
      <c r="A117" s="5">
        <f>IF(B117="","",MAX($A$1:$A116)+1)</f>
        <v>116</v>
      </c>
      <c r="B117" s="8" t="s">
        <v>229</v>
      </c>
      <c r="C117" s="7">
        <f>IF(B117="","",MATCH(B117,Tables!F:F,0))</f>
        <v>21</v>
      </c>
      <c r="D117" s="3" t="str" cm="1">
        <f t="array" ref="D117">IF(C117="","",IF(ISERROR(C117),"",INDEX(Tables!E:E,C117)))</f>
        <v>err</v>
      </c>
      <c r="E117" t="s">
        <v>218</v>
      </c>
      <c r="F117" s="1" t="str">
        <f t="shared" si="10"/>
        <v>errSystemIdx</v>
      </c>
      <c r="G117" t="s">
        <v>243</v>
      </c>
      <c r="H117" s="17">
        <v>10</v>
      </c>
      <c r="J117" s="2" t="s">
        <v>46</v>
      </c>
      <c r="K117" s="2" t="s">
        <v>46</v>
      </c>
      <c r="L117" s="2" t="s">
        <v>46</v>
      </c>
      <c r="N117" s="2" t="s">
        <v>46</v>
      </c>
      <c r="P117" s="2" t="s">
        <v>46</v>
      </c>
      <c r="S117" t="s">
        <v>172</v>
      </c>
      <c r="V117" s="1" t="str">
        <f t="shared" si="14"/>
        <v/>
      </c>
      <c r="W117" s="53" t="str">
        <f t="shared" si="16"/>
        <v>typeint_size10_unsigned</v>
      </c>
      <c r="X117" s="53" t="str">
        <f t="shared" si="15"/>
        <v/>
      </c>
      <c r="Y117" s="53">
        <f t="shared" si="17"/>
        <v>0</v>
      </c>
      <c r="Z117" s="7">
        <f>IF($B117="",0,INDEX(Tables!$B:$B,MATCH($B117,Tables!$F:$F,0)))</f>
        <v>6</v>
      </c>
      <c r="AA117" s="7" t="str">
        <f>IF($T117="","",INDEX(Tables!$B:$B,MATCH($T117,Tables!$F:$F,0)))</f>
        <v/>
      </c>
      <c r="AB117" s="7">
        <f t="shared" si="11"/>
        <v>0</v>
      </c>
      <c r="AC117" s="7">
        <f t="shared" si="12"/>
        <v>0</v>
      </c>
      <c r="AD117" s="54">
        <f t="shared" si="13"/>
        <v>0</v>
      </c>
      <c r="AE117" s="2" t="s">
        <v>107</v>
      </c>
      <c r="AF117" t="s">
        <v>414</v>
      </c>
    </row>
    <row r="118" spans="1:34" x14ac:dyDescent="0.25">
      <c r="A118" s="5">
        <f>IF(B118="","",MAX($A$1:$A117)+1)</f>
        <v>117</v>
      </c>
      <c r="B118" s="8" t="s">
        <v>229</v>
      </c>
      <c r="C118" s="7">
        <f>IF(B118="","",MATCH(B118,Tables!F:F,0))</f>
        <v>21</v>
      </c>
      <c r="D118" s="3" t="str" cm="1">
        <f t="array" ref="D118">IF(C118="","",IF(ISERROR(C118),"",INDEX(Tables!E:E,C118)))</f>
        <v>err</v>
      </c>
      <c r="E118" t="s">
        <v>166</v>
      </c>
      <c r="F118" s="1" t="str">
        <f t="shared" si="10"/>
        <v>errLanguage</v>
      </c>
      <c r="G118" t="s">
        <v>77</v>
      </c>
      <c r="H118"/>
      <c r="I118"/>
      <c r="R118" s="2" t="s">
        <v>118</v>
      </c>
      <c r="S118" t="s">
        <v>266</v>
      </c>
      <c r="V118" s="1" t="str">
        <f t="shared" si="14"/>
        <v/>
      </c>
      <c r="W118" s="53" t="str">
        <f t="shared" si="16"/>
        <v>typetext_size</v>
      </c>
      <c r="X118" s="53" t="str">
        <f t="shared" si="15"/>
        <v/>
      </c>
      <c r="Y118" s="53">
        <f t="shared" si="17"/>
        <v>0</v>
      </c>
      <c r="Z118" s="7">
        <f>IF($B118="",0,INDEX(Tables!$B:$B,MATCH($B118,Tables!$F:$F,0)))</f>
        <v>6</v>
      </c>
      <c r="AA118" s="7" t="str">
        <f>IF($T118="","",INDEX(Tables!$B:$B,MATCH($T118,Tables!$F:$F,0)))</f>
        <v/>
      </c>
      <c r="AB118" s="7">
        <f t="shared" si="11"/>
        <v>0</v>
      </c>
      <c r="AC118" s="7">
        <f t="shared" si="12"/>
        <v>0</v>
      </c>
      <c r="AD118" s="54">
        <f t="shared" si="13"/>
        <v>0</v>
      </c>
      <c r="AE118" s="2" t="s">
        <v>108</v>
      </c>
      <c r="AF118" t="s">
        <v>454</v>
      </c>
      <c r="AH118" s="2" t="s">
        <v>560</v>
      </c>
    </row>
    <row r="119" spans="1:34" x14ac:dyDescent="0.25">
      <c r="A119" s="5">
        <f>IF(B119="","",MAX($A$1:$A118)+1)</f>
        <v>118</v>
      </c>
      <c r="B119" s="8" t="s">
        <v>229</v>
      </c>
      <c r="C119" s="7">
        <f>IF(B119="","",MATCH(B119,Tables!F:F,0))</f>
        <v>21</v>
      </c>
      <c r="D119" s="3" t="str" cm="1">
        <f t="array" ref="D119">IF(C119="","",IF(ISERROR(C119),"",INDEX(Tables!E:E,C119)))</f>
        <v>err</v>
      </c>
      <c r="E119" t="s">
        <v>366</v>
      </c>
      <c r="F119" s="1" t="str">
        <f t="shared" si="10"/>
        <v>errSystemMessage</v>
      </c>
      <c r="G119" t="s">
        <v>77</v>
      </c>
      <c r="H119"/>
      <c r="I119"/>
      <c r="K119" s="2" t="s">
        <v>239</v>
      </c>
      <c r="S119" t="s">
        <v>267</v>
      </c>
      <c r="V119" s="1" t="str">
        <f t="shared" si="14"/>
        <v/>
      </c>
      <c r="W119" s="53" t="str">
        <f t="shared" si="16"/>
        <v>typetext_size</v>
      </c>
      <c r="X119" s="53" t="str">
        <f t="shared" si="15"/>
        <v/>
      </c>
      <c r="Y119" s="53">
        <f t="shared" si="17"/>
        <v>0</v>
      </c>
      <c r="Z119" s="7">
        <f>IF($B119="",0,INDEX(Tables!$B:$B,MATCH($B119,Tables!$F:$F,0)))</f>
        <v>6</v>
      </c>
      <c r="AA119" s="7" t="str">
        <f>IF($T119="","",INDEX(Tables!$B:$B,MATCH($T119,Tables!$F:$F,0)))</f>
        <v/>
      </c>
      <c r="AB119" s="7">
        <f t="shared" si="11"/>
        <v>0</v>
      </c>
      <c r="AC119" s="7">
        <f t="shared" si="12"/>
        <v>0</v>
      </c>
      <c r="AD119" s="54">
        <f t="shared" si="13"/>
        <v>0</v>
      </c>
      <c r="AE119" s="2" t="s">
        <v>108</v>
      </c>
      <c r="AF119" t="s">
        <v>345</v>
      </c>
      <c r="AH119" s="2" t="s">
        <v>559</v>
      </c>
    </row>
    <row r="120" spans="1:34" hidden="1" x14ac:dyDescent="0.25">
      <c r="A120" s="5">
        <f>IF(B120="","",MAX($A$1:$A119)+1)</f>
        <v>119</v>
      </c>
      <c r="B120" s="8" t="s">
        <v>229</v>
      </c>
      <c r="C120" s="7">
        <f>IF(B120="","",MATCH(B120,Tables!F:F,0))</f>
        <v>21</v>
      </c>
      <c r="D120" s="3" t="str" cm="1">
        <f t="array" ref="D120">IF(C120="","",IF(ISERROR(C120),"",INDEX(Tables!E:E,C120)))</f>
        <v>err</v>
      </c>
      <c r="E120" t="s">
        <v>168</v>
      </c>
      <c r="F120" s="1" t="str">
        <f t="shared" si="10"/>
        <v>errStackTrace</v>
      </c>
      <c r="G120" t="s">
        <v>77</v>
      </c>
      <c r="H120"/>
      <c r="I120"/>
      <c r="K120" s="2" t="s">
        <v>239</v>
      </c>
      <c r="S120" t="s">
        <v>268</v>
      </c>
      <c r="V120" s="1" t="str">
        <f t="shared" si="14"/>
        <v/>
      </c>
      <c r="W120" s="53" t="str">
        <f t="shared" si="16"/>
        <v>typetext_size</v>
      </c>
      <c r="X120" s="53" t="str">
        <f t="shared" si="15"/>
        <v/>
      </c>
      <c r="Y120" s="53">
        <f t="shared" si="17"/>
        <v>0</v>
      </c>
      <c r="Z120" s="7">
        <f>IF($B120="",0,INDEX(Tables!$B:$B,MATCH($B120,Tables!$F:$F,0)))</f>
        <v>6</v>
      </c>
      <c r="AA120" s="7" t="str">
        <f>IF($T120="","",INDEX(Tables!$B:$B,MATCH($T120,Tables!$F:$F,0)))</f>
        <v/>
      </c>
      <c r="AB120" s="7">
        <f t="shared" si="11"/>
        <v>0</v>
      </c>
      <c r="AC120" s="7">
        <f t="shared" si="12"/>
        <v>0</v>
      </c>
      <c r="AD120" s="54">
        <f t="shared" si="13"/>
        <v>0</v>
      </c>
      <c r="AE120" s="2" t="s">
        <v>108</v>
      </c>
      <c r="AF120" t="s">
        <v>168</v>
      </c>
    </row>
    <row r="121" spans="1:34" hidden="1" x14ac:dyDescent="0.25">
      <c r="A121" s="5">
        <f>IF(B121="","",MAX($A$1:$A120)+1)</f>
        <v>120</v>
      </c>
      <c r="B121" s="8" t="s">
        <v>229</v>
      </c>
      <c r="C121" s="7">
        <f>IF(B121="","",MATCH(B121,Tables!F:F,0))</f>
        <v>21</v>
      </c>
      <c r="D121" s="3" t="str" cm="1">
        <f t="array" ref="D121">IF(C121="","",IF(ISERROR(C121),"",INDEX(Tables!E:E,C121)))</f>
        <v>err</v>
      </c>
      <c r="E121" t="s">
        <v>169</v>
      </c>
      <c r="F121" s="1" t="str">
        <f t="shared" si="10"/>
        <v>errUserType</v>
      </c>
      <c r="G121" t="s">
        <v>77</v>
      </c>
      <c r="H121"/>
      <c r="I121"/>
      <c r="R121" s="2" t="s">
        <v>118</v>
      </c>
      <c r="S121" t="s">
        <v>269</v>
      </c>
      <c r="V121" s="1" t="str">
        <f t="shared" si="14"/>
        <v/>
      </c>
      <c r="W121" s="53" t="str">
        <f t="shared" si="16"/>
        <v>typetext_size</v>
      </c>
      <c r="X121" s="53" t="str">
        <f t="shared" si="15"/>
        <v/>
      </c>
      <c r="Y121" s="53">
        <f t="shared" si="17"/>
        <v>0</v>
      </c>
      <c r="Z121" s="7">
        <f>IF($B121="",0,INDEX(Tables!$B:$B,MATCH($B121,Tables!$F:$F,0)))</f>
        <v>6</v>
      </c>
      <c r="AA121" s="7" t="str">
        <f>IF($T121="","",INDEX(Tables!$B:$B,MATCH($T121,Tables!$F:$F,0)))</f>
        <v/>
      </c>
      <c r="AB121" s="7">
        <f t="shared" si="11"/>
        <v>0</v>
      </c>
      <c r="AC121" s="7">
        <f t="shared" si="12"/>
        <v>0</v>
      </c>
      <c r="AD121" s="54">
        <f t="shared" si="13"/>
        <v>0</v>
      </c>
      <c r="AE121" s="2" t="s">
        <v>108</v>
      </c>
      <c r="AF121" t="s">
        <v>465</v>
      </c>
    </row>
    <row r="122" spans="1:34" hidden="1" x14ac:dyDescent="0.25">
      <c r="A122" s="5">
        <f>IF(B122="","",MAX($A$1:$A121)+1)</f>
        <v>121</v>
      </c>
      <c r="B122" s="8" t="s">
        <v>229</v>
      </c>
      <c r="C122" s="7">
        <f>IF(B122="","",MATCH(B122,Tables!F:F,0))</f>
        <v>21</v>
      </c>
      <c r="D122" s="3" t="str" cm="1">
        <f t="array" ref="D122">IF(C122="","",IF(ISERROR(C122),"",INDEX(Tables!E:E,C122)))</f>
        <v>err</v>
      </c>
      <c r="E122" t="s">
        <v>237</v>
      </c>
      <c r="F122" s="1" t="str">
        <f t="shared" si="10"/>
        <v>errEstudentID</v>
      </c>
      <c r="G122" t="s">
        <v>243</v>
      </c>
      <c r="H122" s="17">
        <v>7</v>
      </c>
      <c r="N122" s="2" t="s">
        <v>46</v>
      </c>
      <c r="R122" s="2" t="s">
        <v>118</v>
      </c>
      <c r="S122" t="s">
        <v>270</v>
      </c>
      <c r="T122" s="8" t="s">
        <v>221</v>
      </c>
      <c r="U122" s="8" t="s">
        <v>233</v>
      </c>
      <c r="V122" s="1" t="str">
        <f t="shared" si="14"/>
        <v>FK_errEstudentID_estdtSystemIdx</v>
      </c>
      <c r="W122" s="53" t="str">
        <f t="shared" si="16"/>
        <v>typeint_size7_unsigned</v>
      </c>
      <c r="X122" s="53" t="str">
        <f t="shared" si="15"/>
        <v>typeint_size7_unsigned</v>
      </c>
      <c r="Y122" s="53">
        <f t="shared" si="17"/>
        <v>0</v>
      </c>
      <c r="Z122" s="7">
        <f>IF($B122="",0,INDEX(Tables!$B:$B,MATCH($B122,Tables!$F:$F,0)))</f>
        <v>6</v>
      </c>
      <c r="AA122" s="7">
        <f>IF($T122="","",INDEX(Tables!$B:$B,MATCH($T122,Tables!$F:$F,0)))</f>
        <v>3</v>
      </c>
      <c r="AB122" s="7">
        <f t="shared" si="11"/>
        <v>0</v>
      </c>
      <c r="AC122" s="7">
        <f t="shared" si="12"/>
        <v>0</v>
      </c>
      <c r="AD122" s="54">
        <f t="shared" si="13"/>
        <v>0</v>
      </c>
      <c r="AE122" s="2" t="s">
        <v>107</v>
      </c>
      <c r="AF122" t="s">
        <v>270</v>
      </c>
    </row>
    <row r="123" spans="1:34" hidden="1" x14ac:dyDescent="0.25">
      <c r="A123" s="5">
        <f>IF(B123="","",MAX($A$1:$A122)+1)</f>
        <v>122</v>
      </c>
      <c r="B123" s="8" t="s">
        <v>229</v>
      </c>
      <c r="C123" s="7">
        <f>IF(B123="","",MATCH(B123,Tables!F:F,0))</f>
        <v>21</v>
      </c>
      <c r="D123" s="3" t="str" cm="1">
        <f t="array" ref="D123">IF(C123="","",IF(ISERROR(C123),"",INDEX(Tables!E:E,C123)))</f>
        <v>err</v>
      </c>
      <c r="E123" t="s">
        <v>170</v>
      </c>
      <c r="F123" s="1" t="str">
        <f t="shared" si="10"/>
        <v>errPageURL</v>
      </c>
      <c r="G123" t="s">
        <v>77</v>
      </c>
      <c r="H123"/>
      <c r="I123"/>
      <c r="R123" s="2" t="s">
        <v>118</v>
      </c>
      <c r="S123" t="s">
        <v>271</v>
      </c>
      <c r="V123" s="1" t="str">
        <f t="shared" si="14"/>
        <v/>
      </c>
      <c r="W123" s="53" t="str">
        <f t="shared" si="16"/>
        <v>typetext_size</v>
      </c>
      <c r="X123" s="53" t="str">
        <f t="shared" si="15"/>
        <v/>
      </c>
      <c r="Y123" s="53">
        <f t="shared" si="17"/>
        <v>0</v>
      </c>
      <c r="Z123" s="7">
        <f>IF($B123="",0,INDEX(Tables!$B:$B,MATCH($B123,Tables!$F:$F,0)))</f>
        <v>6</v>
      </c>
      <c r="AA123" s="7" t="str">
        <f>IF($T123="","",INDEX(Tables!$B:$B,MATCH($T123,Tables!$F:$F,0)))</f>
        <v/>
      </c>
      <c r="AB123" s="7">
        <f t="shared" si="11"/>
        <v>0</v>
      </c>
      <c r="AC123" s="7">
        <f t="shared" si="12"/>
        <v>0</v>
      </c>
      <c r="AD123" s="54">
        <f t="shared" si="13"/>
        <v>0</v>
      </c>
      <c r="AE123" s="2" t="s">
        <v>108</v>
      </c>
      <c r="AF123" t="s">
        <v>194</v>
      </c>
    </row>
    <row r="124" spans="1:34" hidden="1" x14ac:dyDescent="0.25">
      <c r="A124" s="5">
        <f>IF(B124="","",MAX($A$1:$A123)+1)</f>
        <v>123</v>
      </c>
      <c r="B124" s="8" t="s">
        <v>229</v>
      </c>
      <c r="C124" s="7">
        <f>IF(B124="","",MATCH(B124,Tables!F:F,0))</f>
        <v>21</v>
      </c>
      <c r="D124" s="3" t="str" cm="1">
        <f t="array" ref="D124">IF(C124="","",IF(ISERROR(C124),"",INDEX(Tables!E:E,C124)))</f>
        <v>err</v>
      </c>
      <c r="E124" t="s">
        <v>171</v>
      </c>
      <c r="F124" s="1" t="str">
        <f t="shared" si="10"/>
        <v>errExtra</v>
      </c>
      <c r="G124" t="s">
        <v>77</v>
      </c>
      <c r="H124"/>
      <c r="I124"/>
      <c r="R124" s="2" t="s">
        <v>118</v>
      </c>
      <c r="S124" t="s">
        <v>272</v>
      </c>
      <c r="V124" s="1" t="str">
        <f t="shared" si="14"/>
        <v/>
      </c>
      <c r="W124" s="53" t="str">
        <f t="shared" si="16"/>
        <v>typetext_size</v>
      </c>
      <c r="X124" s="53" t="str">
        <f t="shared" si="15"/>
        <v/>
      </c>
      <c r="Y124" s="53">
        <f t="shared" si="17"/>
        <v>0</v>
      </c>
      <c r="Z124" s="7">
        <f>IF($B124="",0,INDEX(Tables!$B:$B,MATCH($B124,Tables!$F:$F,0)))</f>
        <v>6</v>
      </c>
      <c r="AA124" s="7" t="str">
        <f>IF($T124="","",INDEX(Tables!$B:$B,MATCH($T124,Tables!$F:$F,0)))</f>
        <v/>
      </c>
      <c r="AB124" s="7">
        <f t="shared" si="11"/>
        <v>0</v>
      </c>
      <c r="AC124" s="7">
        <f t="shared" si="12"/>
        <v>0</v>
      </c>
      <c r="AD124" s="54">
        <f t="shared" si="13"/>
        <v>0</v>
      </c>
      <c r="AE124" s="2" t="s">
        <v>108</v>
      </c>
      <c r="AF124" t="s">
        <v>466</v>
      </c>
    </row>
    <row r="125" spans="1:34" hidden="1" x14ac:dyDescent="0.25">
      <c r="A125" s="5">
        <f>IF(B125="","",MAX($A$1:$A124)+1)</f>
        <v>124</v>
      </c>
      <c r="B125" s="8" t="s">
        <v>229</v>
      </c>
      <c r="C125" s="7">
        <f>IF(B125="","",MATCH(B125,Tables!F:F,0))</f>
        <v>21</v>
      </c>
      <c r="D125" s="3" t="str" cm="1">
        <f t="array" ref="D125">IF(C125="","",IF(ISERROR(C125),"",INDEX(Tables!E:E,C125)))</f>
        <v>err</v>
      </c>
      <c r="E125" t="s">
        <v>110</v>
      </c>
      <c r="F125" s="1" t="str">
        <f t="shared" si="10"/>
        <v>errSystemActive</v>
      </c>
      <c r="G125" t="s">
        <v>245</v>
      </c>
      <c r="H125" s="17">
        <v>1</v>
      </c>
      <c r="R125" s="2" t="s">
        <v>116</v>
      </c>
      <c r="S125" t="s">
        <v>119</v>
      </c>
      <c r="V125" s="1" t="str">
        <f t="shared" si="14"/>
        <v/>
      </c>
      <c r="W125" s="53" t="str">
        <f t="shared" si="16"/>
        <v>typebit_size1</v>
      </c>
      <c r="X125" s="53" t="str">
        <f t="shared" si="15"/>
        <v/>
      </c>
      <c r="Y125" s="53">
        <f t="shared" si="17"/>
        <v>0</v>
      </c>
      <c r="Z125" s="7">
        <f>IF($B125="",0,INDEX(Tables!$B:$B,MATCH($B125,Tables!$F:$F,0)))</f>
        <v>6</v>
      </c>
      <c r="AA125" s="7" t="str">
        <f>IF($T125="","",INDEX(Tables!$B:$B,MATCH($T125,Tables!$F:$F,0)))</f>
        <v/>
      </c>
      <c r="AB125" s="7">
        <f t="shared" si="11"/>
        <v>0</v>
      </c>
      <c r="AC125" s="7">
        <f t="shared" si="12"/>
        <v>0</v>
      </c>
      <c r="AD125" s="54">
        <f t="shared" si="13"/>
        <v>0</v>
      </c>
      <c r="AE125" s="2" t="s">
        <v>115</v>
      </c>
      <c r="AF125" t="s">
        <v>119</v>
      </c>
    </row>
    <row r="126" spans="1:34" hidden="1" x14ac:dyDescent="0.25">
      <c r="A126" s="5">
        <f>IF(B126="","",MAX($A$1:$A125)+1)</f>
        <v>125</v>
      </c>
      <c r="B126" s="8" t="s">
        <v>229</v>
      </c>
      <c r="C126" s="7">
        <f>IF(B126="","",MATCH(B126,Tables!F:F,0))</f>
        <v>21</v>
      </c>
      <c r="D126" s="3" t="str" cm="1">
        <f t="array" ref="D126">IF(C126="","",IF(ISERROR(C126),"",INDEX(Tables!E:E,C126)))</f>
        <v>err</v>
      </c>
      <c r="E126" t="s">
        <v>111</v>
      </c>
      <c r="F126" s="1" t="str">
        <f t="shared" si="10"/>
        <v>errSystemCreationDt</v>
      </c>
      <c r="G126" t="s">
        <v>297</v>
      </c>
      <c r="H126"/>
      <c r="I126"/>
      <c r="R126" s="2" t="s">
        <v>117</v>
      </c>
      <c r="S126" t="s">
        <v>120</v>
      </c>
      <c r="V126" s="1" t="str">
        <f t="shared" si="14"/>
        <v/>
      </c>
      <c r="W126" s="53" t="str">
        <f t="shared" si="16"/>
        <v>typeDATETIME_size</v>
      </c>
      <c r="X126" s="53" t="str">
        <f t="shared" si="15"/>
        <v/>
      </c>
      <c r="Y126" s="53">
        <f t="shared" si="17"/>
        <v>0</v>
      </c>
      <c r="Z126" s="7">
        <f>IF($B126="",0,INDEX(Tables!$B:$B,MATCH($B126,Tables!$F:$F,0)))</f>
        <v>6</v>
      </c>
      <c r="AA126" s="7" t="str">
        <f>IF($T126="","",INDEX(Tables!$B:$B,MATCH($T126,Tables!$F:$F,0)))</f>
        <v/>
      </c>
      <c r="AB126" s="7">
        <f t="shared" si="11"/>
        <v>0</v>
      </c>
      <c r="AC126" s="7">
        <f t="shared" si="12"/>
        <v>0</v>
      </c>
      <c r="AD126" s="54">
        <f t="shared" si="13"/>
        <v>0</v>
      </c>
      <c r="AE126" s="2" t="s">
        <v>109</v>
      </c>
      <c r="AF126" t="s">
        <v>120</v>
      </c>
    </row>
    <row r="127" spans="1:34" hidden="1" x14ac:dyDescent="0.25">
      <c r="A127" s="5">
        <f>IF(B127="","",MAX($A$1:$A126)+1)</f>
        <v>126</v>
      </c>
      <c r="B127" s="8" t="s">
        <v>229</v>
      </c>
      <c r="C127" s="7">
        <f>IF(B127="","",MATCH(B127,Tables!F:F,0))</f>
        <v>21</v>
      </c>
      <c r="D127" s="3" t="str" cm="1">
        <f t="array" ref="D127">IF(C127="","",IF(ISERROR(C127),"",INDEX(Tables!E:E,C127)))</f>
        <v>err</v>
      </c>
      <c r="E127" t="s">
        <v>112</v>
      </c>
      <c r="F127" s="1" t="str">
        <f t="shared" si="10"/>
        <v>errSystemCreationID</v>
      </c>
      <c r="G127" t="s">
        <v>243</v>
      </c>
      <c r="H127" s="17">
        <v>5</v>
      </c>
      <c r="K127" s="2" t="s">
        <v>46</v>
      </c>
      <c r="N127" s="2" t="s">
        <v>46</v>
      </c>
      <c r="S127" t="s">
        <v>121</v>
      </c>
      <c r="T127" s="8" t="s">
        <v>228</v>
      </c>
      <c r="U127" s="8" t="s">
        <v>232</v>
      </c>
      <c r="V127" s="1" t="str">
        <f t="shared" si="14"/>
        <v>FK_errSystemCreationID_usrSystemIdx</v>
      </c>
      <c r="W127" s="53" t="str">
        <f t="shared" si="16"/>
        <v>typeint_size5_unsigned</v>
      </c>
      <c r="X127" s="53" t="str">
        <f t="shared" si="15"/>
        <v>typeint_size5_unsigned</v>
      </c>
      <c r="Y127" s="53">
        <f t="shared" si="17"/>
        <v>0</v>
      </c>
      <c r="Z127" s="7">
        <f>IF($B127="",0,INDEX(Tables!$B:$B,MATCH($B127,Tables!$F:$F,0)))</f>
        <v>6</v>
      </c>
      <c r="AA127" s="7">
        <f>IF($T127="","",INDEX(Tables!$B:$B,MATCH($T127,Tables!$F:$F,0)))</f>
        <v>0</v>
      </c>
      <c r="AB127" s="7">
        <f t="shared" si="11"/>
        <v>0</v>
      </c>
      <c r="AC127" s="7">
        <f t="shared" si="12"/>
        <v>0</v>
      </c>
      <c r="AD127" s="54">
        <f t="shared" si="13"/>
        <v>0</v>
      </c>
      <c r="AE127" s="2" t="s">
        <v>107</v>
      </c>
      <c r="AF127" t="s">
        <v>444</v>
      </c>
    </row>
    <row r="128" spans="1:34" hidden="1" x14ac:dyDescent="0.25">
      <c r="A128" s="5">
        <f>IF(B128="","",MAX($A$1:$A127)+1)</f>
        <v>127</v>
      </c>
      <c r="B128" s="8" t="s">
        <v>229</v>
      </c>
      <c r="C128" s="7">
        <f>IF(B128="","",MATCH(B128,Tables!F:F,0))</f>
        <v>21</v>
      </c>
      <c r="D128" s="3" t="str" cm="1">
        <f t="array" ref="D128">IF(C128="","",IF(ISERROR(C128),"",INDEX(Tables!E:E,C128)))</f>
        <v>err</v>
      </c>
      <c r="E128" t="s">
        <v>113</v>
      </c>
      <c r="F128" s="1" t="str">
        <f t="shared" ref="F128:F194" si="19">IF(E128="","",_xlfn.CONCAT(D128,E128))</f>
        <v>errSystemLastUpdateDt</v>
      </c>
      <c r="G128" t="s">
        <v>297</v>
      </c>
      <c r="H128"/>
      <c r="I128"/>
      <c r="R128" s="2" t="s">
        <v>118</v>
      </c>
      <c r="S128" t="s">
        <v>122</v>
      </c>
      <c r="V128" s="1" t="str">
        <f t="shared" si="14"/>
        <v/>
      </c>
      <c r="W128" s="53" t="str">
        <f t="shared" si="16"/>
        <v>typeDATETIME_size</v>
      </c>
      <c r="X128" s="53" t="str">
        <f t="shared" si="15"/>
        <v/>
      </c>
      <c r="Y128" s="53">
        <f t="shared" si="17"/>
        <v>0</v>
      </c>
      <c r="Z128" s="7">
        <f>IF($B128="",0,INDEX(Tables!$B:$B,MATCH($B128,Tables!$F:$F,0)))</f>
        <v>6</v>
      </c>
      <c r="AA128" s="7" t="str">
        <f>IF($T128="","",INDEX(Tables!$B:$B,MATCH($T128,Tables!$F:$F,0)))</f>
        <v/>
      </c>
      <c r="AB128" s="7">
        <f t="shared" ref="AB128:AB194" si="20">IF($AA128="",0,IF(ISERROR($AA128),1,IF($Z128&lt;=$AA128,1,0)))</f>
        <v>0</v>
      </c>
      <c r="AC128" s="7">
        <f t="shared" ref="AC128:AC194" si="21">IF(L128="",0,IF(AND(OR(G128="int",G128="varchar",G128="datetime"),H128&lt;&gt;""),0,1))</f>
        <v>0</v>
      </c>
      <c r="AD128" s="54">
        <f t="shared" ref="AD128:AD194" si="22">Y128+AB128+AC128</f>
        <v>0</v>
      </c>
      <c r="AE128" s="2" t="s">
        <v>109</v>
      </c>
      <c r="AF128" t="s">
        <v>445</v>
      </c>
    </row>
    <row r="129" spans="1:34" hidden="1" x14ac:dyDescent="0.25">
      <c r="A129" s="5">
        <f>IF(B129="","",MAX($A$1:$A128)+1)</f>
        <v>128</v>
      </c>
      <c r="B129" s="8" t="s">
        <v>229</v>
      </c>
      <c r="C129" s="7">
        <f>IF(B129="","",MATCH(B129,Tables!F:F,0))</f>
        <v>21</v>
      </c>
      <c r="D129" s="3" t="str" cm="1">
        <f t="array" ref="D129">IF(C129="","",IF(ISERROR(C129),"",INDEX(Tables!E:E,C129)))</f>
        <v>err</v>
      </c>
      <c r="E129" t="s">
        <v>114</v>
      </c>
      <c r="F129" s="1" t="str">
        <f t="shared" si="19"/>
        <v>errSystemLastUpdateID</v>
      </c>
      <c r="G129" t="s">
        <v>243</v>
      </c>
      <c r="H129" s="17">
        <v>5</v>
      </c>
      <c r="N129" s="2" t="s">
        <v>46</v>
      </c>
      <c r="R129" s="2" t="s">
        <v>118</v>
      </c>
      <c r="S129" t="s">
        <v>123</v>
      </c>
      <c r="T129" s="8" t="s">
        <v>228</v>
      </c>
      <c r="U129" s="8" t="s">
        <v>232</v>
      </c>
      <c r="V129" s="1" t="str">
        <f t="shared" si="14"/>
        <v>FK_errSystemLastUpdateID_usrSystemIdx</v>
      </c>
      <c r="W129" s="53" t="str">
        <f t="shared" si="16"/>
        <v>typeint_size5_unsigned</v>
      </c>
      <c r="X129" s="53" t="str">
        <f t="shared" si="15"/>
        <v>typeint_size5_unsigned</v>
      </c>
      <c r="Y129" s="53">
        <f t="shared" si="17"/>
        <v>0</v>
      </c>
      <c r="Z129" s="7">
        <f>IF($B129="",0,INDEX(Tables!$B:$B,MATCH($B129,Tables!$F:$F,0)))</f>
        <v>6</v>
      </c>
      <c r="AA129" s="7">
        <f>IF($T129="","",INDEX(Tables!$B:$B,MATCH($T129,Tables!$F:$F,0)))</f>
        <v>0</v>
      </c>
      <c r="AB129" s="7">
        <f t="shared" si="20"/>
        <v>0</v>
      </c>
      <c r="AC129" s="7">
        <f t="shared" si="21"/>
        <v>0</v>
      </c>
      <c r="AD129" s="54">
        <f t="shared" si="22"/>
        <v>0</v>
      </c>
      <c r="AE129" s="2" t="s">
        <v>107</v>
      </c>
      <c r="AF129" t="s">
        <v>443</v>
      </c>
    </row>
    <row r="130" spans="1:34" hidden="1" x14ac:dyDescent="0.25">
      <c r="A130" s="5">
        <f>IF(B130="","",MAX($A$1:$A129)+1)</f>
        <v>129</v>
      </c>
      <c r="B130" s="8" t="s">
        <v>353</v>
      </c>
      <c r="C130" s="7">
        <f>IF(B130="","",MATCH(B130,Tables!F:F,0))</f>
        <v>15</v>
      </c>
      <c r="D130" s="3" t="str" cm="1">
        <f t="array" ref="D130">IF(C130="","",IF(ISERROR(C130),"",INDEX(Tables!E:E,C130)))</f>
        <v>trsctn</v>
      </c>
      <c r="E130" t="s">
        <v>218</v>
      </c>
      <c r="F130" s="1" t="str">
        <f t="shared" si="19"/>
        <v>trsctnSystemIdx</v>
      </c>
      <c r="G130" t="s">
        <v>243</v>
      </c>
      <c r="H130" s="17">
        <v>10</v>
      </c>
      <c r="J130" s="2" t="s">
        <v>46</v>
      </c>
      <c r="K130" s="2" t="s">
        <v>46</v>
      </c>
      <c r="L130" s="2" t="s">
        <v>46</v>
      </c>
      <c r="N130" s="2" t="s">
        <v>46</v>
      </c>
      <c r="P130" s="2" t="s">
        <v>46</v>
      </c>
      <c r="S130" t="s">
        <v>173</v>
      </c>
      <c r="V130" s="1" t="str">
        <f t="shared" ref="V130:V196" si="23">IF(OR(T130="",U130=""),"",_xlfn.CONCAT("FK_",F130,"_",U130))</f>
        <v/>
      </c>
      <c r="W130" s="53" t="str">
        <f t="shared" si="16"/>
        <v>typeint_size10_unsigned</v>
      </c>
      <c r="X130" s="53" t="str">
        <f t="shared" ref="X130:X193" si="24">IF(U130="","",INDEX(W:W,MATCH(U130,F:F,)))</f>
        <v/>
      </c>
      <c r="Y130" s="53">
        <f t="shared" si="17"/>
        <v>0</v>
      </c>
      <c r="Z130" s="7">
        <f>IF($B130="",0,INDEX(Tables!$B:$B,MATCH($B130,Tables!$F:$F,0)))</f>
        <v>15</v>
      </c>
      <c r="AA130" s="7" t="str">
        <f>IF($T130="","",INDEX(Tables!$B:$B,MATCH($T130,Tables!$F:$F,0)))</f>
        <v/>
      </c>
      <c r="AB130" s="7">
        <f t="shared" si="20"/>
        <v>0</v>
      </c>
      <c r="AC130" s="7">
        <f t="shared" si="21"/>
        <v>0</v>
      </c>
      <c r="AD130" s="54">
        <f t="shared" si="22"/>
        <v>0</v>
      </c>
      <c r="AE130" s="2" t="s">
        <v>107</v>
      </c>
      <c r="AF130" t="s">
        <v>414</v>
      </c>
    </row>
    <row r="131" spans="1:34" hidden="1" x14ac:dyDescent="0.25">
      <c r="A131" s="5">
        <f>IF(B131="","",MAX($A$1:$A130)+1)</f>
        <v>130</v>
      </c>
      <c r="B131" s="8" t="s">
        <v>353</v>
      </c>
      <c r="C131" s="7">
        <f>IF(B131="","",MATCH(B131,Tables!F:F,0))</f>
        <v>15</v>
      </c>
      <c r="D131" s="3" t="str" cm="1">
        <f t="array" ref="D131">IF(C131="","",IF(ISERROR(C131),"",INDEX(Tables!E:E,C131)))</f>
        <v>trsctn</v>
      </c>
      <c r="E131" t="s">
        <v>217</v>
      </c>
      <c r="F131" s="1" t="str">
        <f t="shared" si="19"/>
        <v>trsctnSystemFinTechAccount</v>
      </c>
      <c r="G131" t="s">
        <v>243</v>
      </c>
      <c r="H131" s="17">
        <v>5</v>
      </c>
      <c r="K131" s="2" t="s">
        <v>46</v>
      </c>
      <c r="N131" s="2" t="s">
        <v>46</v>
      </c>
      <c r="S131" t="s">
        <v>187</v>
      </c>
      <c r="T131" s="8" t="s">
        <v>352</v>
      </c>
      <c r="U131" s="8" t="s">
        <v>236</v>
      </c>
      <c r="V131" s="1" t="str">
        <f t="shared" si="23"/>
        <v>FK_trsctnSystemFinTechAccount_fntaccSystemIdx</v>
      </c>
      <c r="W131" s="53" t="str">
        <f t="shared" si="16"/>
        <v>typeint_size5_unsigned</v>
      </c>
      <c r="X131" s="53" t="str">
        <f t="shared" si="24"/>
        <v>typeint_size5_unsigned</v>
      </c>
      <c r="Y131" s="53">
        <f t="shared" si="17"/>
        <v>0</v>
      </c>
      <c r="Z131" s="7">
        <f>IF($B131="",0,INDEX(Tables!$B:$B,MATCH($B131,Tables!$F:$F,0)))</f>
        <v>15</v>
      </c>
      <c r="AA131" s="7">
        <f>IF($T131="","",INDEX(Tables!$B:$B,MATCH($T131,Tables!$F:$F,0)))</f>
        <v>8</v>
      </c>
      <c r="AB131" s="7">
        <f t="shared" si="20"/>
        <v>0</v>
      </c>
      <c r="AC131" s="7">
        <f t="shared" si="21"/>
        <v>0</v>
      </c>
      <c r="AD131" s="54">
        <f t="shared" si="22"/>
        <v>0</v>
      </c>
      <c r="AE131" s="2" t="s">
        <v>107</v>
      </c>
      <c r="AF131" t="s">
        <v>450</v>
      </c>
    </row>
    <row r="132" spans="1:34" hidden="1" x14ac:dyDescent="0.25">
      <c r="A132" s="5">
        <f>IF(B132="","",MAX($A$1:$A131)+1)</f>
        <v>131</v>
      </c>
      <c r="B132" s="8" t="s">
        <v>353</v>
      </c>
      <c r="C132" s="7">
        <f>IF(B132="","",MATCH(B132,Tables!F:F,0))</f>
        <v>15</v>
      </c>
      <c r="D132" s="3" t="str" cm="1">
        <f t="array" ref="D132">IF(C132="","",IF(ISERROR(C132),"",INDEX(Tables!E:E,C132)))</f>
        <v>trsctn</v>
      </c>
      <c r="E132" t="s">
        <v>176</v>
      </c>
      <c r="F132" s="1" t="str">
        <f t="shared" si="19"/>
        <v>trsctnSystemEstudent</v>
      </c>
      <c r="G132" t="s">
        <v>243</v>
      </c>
      <c r="H132" s="17">
        <v>7</v>
      </c>
      <c r="K132" s="2" t="s">
        <v>239</v>
      </c>
      <c r="N132" s="2" t="s">
        <v>46</v>
      </c>
      <c r="S132" t="s">
        <v>186</v>
      </c>
      <c r="T132" s="8" t="s">
        <v>221</v>
      </c>
      <c r="U132" s="8" t="s">
        <v>233</v>
      </c>
      <c r="V132" s="1" t="str">
        <f t="shared" si="23"/>
        <v>FK_trsctnSystemEstudent_estdtSystemIdx</v>
      </c>
      <c r="W132" s="53" t="str">
        <f t="shared" si="16"/>
        <v>typeint_size7_unsigned</v>
      </c>
      <c r="X132" s="53" t="str">
        <f t="shared" si="24"/>
        <v>typeint_size7_unsigned</v>
      </c>
      <c r="Y132" s="53">
        <f t="shared" si="17"/>
        <v>0</v>
      </c>
      <c r="Z132" s="7">
        <f>IF($B132="",0,INDEX(Tables!$B:$B,MATCH($B132,Tables!$F:$F,0)))</f>
        <v>15</v>
      </c>
      <c r="AA132" s="7">
        <f>IF($T132="","",INDEX(Tables!$B:$B,MATCH($T132,Tables!$F:$F,0)))</f>
        <v>3</v>
      </c>
      <c r="AB132" s="7">
        <f t="shared" si="20"/>
        <v>0</v>
      </c>
      <c r="AC132" s="7">
        <f t="shared" si="21"/>
        <v>0</v>
      </c>
      <c r="AD132" s="54">
        <f t="shared" si="22"/>
        <v>0</v>
      </c>
      <c r="AE132" s="2" t="s">
        <v>107</v>
      </c>
      <c r="AF132" t="s">
        <v>270</v>
      </c>
    </row>
    <row r="133" spans="1:34" hidden="1" x14ac:dyDescent="0.25">
      <c r="A133" s="5">
        <f>IF(B133="","",MAX($A$1:$A132)+1)</f>
        <v>132</v>
      </c>
      <c r="B133" s="8" t="s">
        <v>353</v>
      </c>
      <c r="C133" s="7">
        <f>IF(B133="","",MATCH(B133,Tables!F:F,0))</f>
        <v>15</v>
      </c>
      <c r="D133" s="3" t="str" cm="1">
        <f t="array" ref="D133">IF(C133="","",IF(ISERROR(C133),"",INDEX(Tables!E:E,C133)))</f>
        <v>trsctn</v>
      </c>
      <c r="E133" t="s">
        <v>177</v>
      </c>
      <c r="F133" s="1" t="str">
        <f t="shared" si="19"/>
        <v>trsctnSystemOrder</v>
      </c>
      <c r="G133" t="s">
        <v>243</v>
      </c>
      <c r="H133" s="17">
        <v>10</v>
      </c>
      <c r="K133" s="2" t="s">
        <v>239</v>
      </c>
      <c r="N133" s="2" t="s">
        <v>46</v>
      </c>
      <c r="S133" t="s">
        <v>185</v>
      </c>
      <c r="T133" s="8" t="s">
        <v>224</v>
      </c>
      <c r="U133" s="8" t="s">
        <v>238</v>
      </c>
      <c r="V133" s="1" t="str">
        <f t="shared" si="23"/>
        <v>FK_trsctnSystemOrder_ordrSystemIdx</v>
      </c>
      <c r="W133" s="53" t="str">
        <f t="shared" si="16"/>
        <v>typeint_size10_unsigned</v>
      </c>
      <c r="X133" s="53" t="str">
        <f t="shared" si="24"/>
        <v>typeint_size10_unsigned</v>
      </c>
      <c r="Y133" s="53">
        <f t="shared" si="17"/>
        <v>0</v>
      </c>
      <c r="Z133" s="7">
        <f>IF($B133="",0,INDEX(Tables!$B:$B,MATCH($B133,Tables!$F:$F,0)))</f>
        <v>15</v>
      </c>
      <c r="AA133" s="7">
        <f>IF($T133="","",INDEX(Tables!$B:$B,MATCH($T133,Tables!$F:$F,0)))</f>
        <v>12</v>
      </c>
      <c r="AB133" s="7">
        <f t="shared" si="20"/>
        <v>0</v>
      </c>
      <c r="AC133" s="7">
        <f t="shared" si="21"/>
        <v>0</v>
      </c>
      <c r="AD133" s="54">
        <f t="shared" si="22"/>
        <v>0</v>
      </c>
      <c r="AE133" s="2" t="s">
        <v>107</v>
      </c>
      <c r="AF133" t="s">
        <v>467</v>
      </c>
    </row>
    <row r="134" spans="1:34" x14ac:dyDescent="0.25">
      <c r="A134" s="5">
        <f>IF(B134="","",MAX($A$1:$A133)+1)</f>
        <v>133</v>
      </c>
      <c r="B134" s="8" t="s">
        <v>353</v>
      </c>
      <c r="C134" s="7">
        <f>IF(B134="","",MATCH(B134,Tables!F:F,0))</f>
        <v>15</v>
      </c>
      <c r="D134" s="3" t="str" cm="1">
        <f t="array" ref="D134">IF(C134="","",IF(ISERROR(C134),"",INDEX(Tables!E:E,C134)))</f>
        <v>trsctn</v>
      </c>
      <c r="E134" t="s">
        <v>180</v>
      </c>
      <c r="F134" s="1" t="str">
        <f t="shared" si="19"/>
        <v>trsctnRemoteCode</v>
      </c>
      <c r="G134" t="s">
        <v>248</v>
      </c>
      <c r="H134">
        <v>200</v>
      </c>
      <c r="I134"/>
      <c r="K134" s="2" t="s">
        <v>46</v>
      </c>
      <c r="L134" s="2" t="s">
        <v>46</v>
      </c>
      <c r="S134" t="s">
        <v>184</v>
      </c>
      <c r="V134" s="1" t="str">
        <f t="shared" si="23"/>
        <v/>
      </c>
      <c r="W134" s="53" t="str">
        <f t="shared" si="16"/>
        <v>typevarchar_size200</v>
      </c>
      <c r="X134" s="53" t="str">
        <f t="shared" si="24"/>
        <v/>
      </c>
      <c r="Y134" s="53">
        <f t="shared" si="17"/>
        <v>0</v>
      </c>
      <c r="Z134" s="7">
        <f>IF($B134="",0,INDEX(Tables!$B:$B,MATCH($B134,Tables!$F:$F,0)))</f>
        <v>15</v>
      </c>
      <c r="AA134" s="7" t="str">
        <f>IF($T134="","",INDEX(Tables!$B:$B,MATCH($T134,Tables!$F:$F,0)))</f>
        <v/>
      </c>
      <c r="AB134" s="7">
        <f t="shared" si="20"/>
        <v>0</v>
      </c>
      <c r="AC134" s="7">
        <f t="shared" si="21"/>
        <v>0</v>
      </c>
      <c r="AD134" s="54">
        <f t="shared" si="22"/>
        <v>0</v>
      </c>
      <c r="AE134" s="2" t="s">
        <v>108</v>
      </c>
      <c r="AF134" t="s">
        <v>468</v>
      </c>
      <c r="AH134" s="2" t="s">
        <v>559</v>
      </c>
    </row>
    <row r="135" spans="1:34" x14ac:dyDescent="0.25">
      <c r="A135" s="5">
        <f>IF(B135="","",MAX($A$1:$A134)+1)</f>
        <v>134</v>
      </c>
      <c r="B135" s="8" t="s">
        <v>353</v>
      </c>
      <c r="C135" s="7">
        <f>IF(B135="","",MATCH(B135,Tables!F:F,0))</f>
        <v>15</v>
      </c>
      <c r="D135" s="3" t="str" cm="1">
        <f t="array" ref="D135">IF(C135="","",IF(ISERROR(C135),"",INDEX(Tables!E:E,C135)))</f>
        <v>trsctn</v>
      </c>
      <c r="E135" t="s">
        <v>179</v>
      </c>
      <c r="F135" s="1" t="str">
        <f t="shared" si="19"/>
        <v>trsctnRemoteNotification</v>
      </c>
      <c r="G135" t="s">
        <v>248</v>
      </c>
      <c r="H135">
        <v>200</v>
      </c>
      <c r="I135"/>
      <c r="K135" s="2" t="s">
        <v>46</v>
      </c>
      <c r="L135" s="2" t="s">
        <v>46</v>
      </c>
      <c r="S135" t="s">
        <v>188</v>
      </c>
      <c r="V135" s="1" t="str">
        <f t="shared" si="23"/>
        <v/>
      </c>
      <c r="W135" s="53" t="str">
        <f t="shared" si="16"/>
        <v>typevarchar_size200</v>
      </c>
      <c r="X135" s="53" t="str">
        <f t="shared" si="24"/>
        <v/>
      </c>
      <c r="Y135" s="53">
        <f t="shared" si="17"/>
        <v>0</v>
      </c>
      <c r="Z135" s="7">
        <f>IF($B135="",0,INDEX(Tables!$B:$B,MATCH($B135,Tables!$F:$F,0)))</f>
        <v>15</v>
      </c>
      <c r="AA135" s="7" t="str">
        <f>IF($T135="","",INDEX(Tables!$B:$B,MATCH($T135,Tables!$F:$F,0)))</f>
        <v/>
      </c>
      <c r="AB135" s="7">
        <f t="shared" si="20"/>
        <v>0</v>
      </c>
      <c r="AC135" s="7">
        <f t="shared" si="21"/>
        <v>0</v>
      </c>
      <c r="AD135" s="54">
        <f t="shared" si="22"/>
        <v>0</v>
      </c>
      <c r="AE135" s="2" t="s">
        <v>108</v>
      </c>
      <c r="AF135" t="s">
        <v>469</v>
      </c>
      <c r="AH135" s="2" t="s">
        <v>559</v>
      </c>
    </row>
    <row r="136" spans="1:34" x14ac:dyDescent="0.25">
      <c r="A136" s="5">
        <f>IF(B136="","",MAX($A$1:$A135)+1)</f>
        <v>135</v>
      </c>
      <c r="B136" s="8" t="s">
        <v>353</v>
      </c>
      <c r="C136" s="7">
        <f>IF(B136="","",MATCH(B136,Tables!F:F,0))</f>
        <v>15</v>
      </c>
      <c r="D136" s="3" t="str" cm="1">
        <f t="array" ref="D136">IF(C136="","",IF(ISERROR(C136),"",INDEX(Tables!E:E,C136)))</f>
        <v>trsctn</v>
      </c>
      <c r="E136" t="s">
        <v>178</v>
      </c>
      <c r="F136" s="1" t="str">
        <f t="shared" si="19"/>
        <v>trsctnRemoteStatus</v>
      </c>
      <c r="G136" t="s">
        <v>243</v>
      </c>
      <c r="H136" s="17">
        <v>6</v>
      </c>
      <c r="K136" s="2" t="s">
        <v>46</v>
      </c>
      <c r="N136" s="2" t="s">
        <v>46</v>
      </c>
      <c r="S136" t="s">
        <v>189</v>
      </c>
      <c r="T136" s="8" t="s">
        <v>329</v>
      </c>
      <c r="U136" s="8" t="s">
        <v>390</v>
      </c>
      <c r="V136" s="1" t="str">
        <f t="shared" si="23"/>
        <v>FK_trsctnRemoteStatus_trsctnstsSystemIdx</v>
      </c>
      <c r="W136" s="53" t="str">
        <f t="shared" ref="W136:W202" si="25">_xlfn.CONCAT("type",G136,"_size",H136,IF(M136="","","_binary"),IF(N136="","","_unsigned"),IF(O136="","","_zeroFill"))</f>
        <v>typeint_size6_unsigned</v>
      </c>
      <c r="X136" s="53" t="str">
        <f t="shared" si="24"/>
        <v>typeint_size6_unsigned</v>
      </c>
      <c r="Y136" s="53">
        <f t="shared" ref="Y136:Y202" si="26">IF(X136="",0,IF(ISERROR(X136),1,IF(X136&lt;&gt;W136,1,0)))</f>
        <v>0</v>
      </c>
      <c r="Z136" s="7">
        <f>IF($B136="",0,INDEX(Tables!$B:$B,MATCH($B136,Tables!$F:$F,0)))</f>
        <v>15</v>
      </c>
      <c r="AA136" s="7">
        <f>IF($T136="","",INDEX(Tables!$B:$B,MATCH($T136,Tables!$F:$F,0)))</f>
        <v>13</v>
      </c>
      <c r="AB136" s="7">
        <f t="shared" si="20"/>
        <v>0</v>
      </c>
      <c r="AC136" s="7">
        <f t="shared" si="21"/>
        <v>0</v>
      </c>
      <c r="AD136" s="54">
        <f t="shared" si="22"/>
        <v>0</v>
      </c>
      <c r="AE136" s="2" t="s">
        <v>107</v>
      </c>
      <c r="AF136" t="s">
        <v>556</v>
      </c>
      <c r="AH136" s="2" t="s">
        <v>560</v>
      </c>
    </row>
    <row r="137" spans="1:34" x14ac:dyDescent="0.25">
      <c r="A137" s="5">
        <f>IF(B137="","",MAX($A$1:$A136)+1)</f>
        <v>136</v>
      </c>
      <c r="B137" s="8" t="s">
        <v>353</v>
      </c>
      <c r="C137" s="7">
        <f>IF(B137="","",MATCH(B137,Tables!F:F,0))</f>
        <v>15</v>
      </c>
      <c r="D137" s="3" t="str" cm="1">
        <f t="array" ref="D137">IF(C137="","",IF(ISERROR(C137),"",INDEX(Tables!E:E,C137)))</f>
        <v>trsctn</v>
      </c>
      <c r="E137" t="s">
        <v>134</v>
      </c>
      <c r="F137" s="1" t="str">
        <f t="shared" ref="F137" si="27">IF(E137="","",_xlfn.CONCAT(D137,E137))</f>
        <v>trsctnStatus</v>
      </c>
      <c r="G137" t="s">
        <v>243</v>
      </c>
      <c r="H137" s="17">
        <v>2</v>
      </c>
      <c r="I137"/>
      <c r="R137" s="2">
        <v>0</v>
      </c>
      <c r="S137" t="s">
        <v>502</v>
      </c>
      <c r="V137" s="1" t="str">
        <f t="shared" ref="V137" si="28">IF(OR(T137="",U137=""),"",_xlfn.CONCAT("FK_",F137,"_",U137))</f>
        <v/>
      </c>
      <c r="W137" s="53" t="str">
        <f t="shared" ref="W137" si="29">_xlfn.CONCAT("type",G137,"_size",H137,IF(M137="","","_binary"),IF(N137="","","_unsigned"),IF(O137="","","_zeroFill"))</f>
        <v>typeint_size2</v>
      </c>
      <c r="X137" s="53" t="str">
        <f t="shared" si="24"/>
        <v/>
      </c>
      <c r="Y137" s="53">
        <f t="shared" ref="Y137" si="30">IF(X137="",0,IF(ISERROR(X137),1,IF(X137&lt;&gt;W137,1,0)))</f>
        <v>0</v>
      </c>
      <c r="Z137" s="7">
        <f>IF($B137="",0,INDEX(Tables!$B:$B,MATCH($B137,Tables!$F:$F,0)))</f>
        <v>15</v>
      </c>
      <c r="AA137" s="7" t="str">
        <f>IF($T137="","",INDEX(Tables!$B:$B,MATCH($T137,Tables!$F:$F,0)))</f>
        <v/>
      </c>
      <c r="AB137" s="7">
        <f t="shared" si="20"/>
        <v>0</v>
      </c>
      <c r="AC137" s="7">
        <f t="shared" ref="AC137" si="31">IF(L137="",0,IF(AND(OR(G137="int",G137="varchar",G137="datetime"),H137&lt;&gt;""),0,1))</f>
        <v>0</v>
      </c>
      <c r="AD137" s="54">
        <f t="shared" ref="AD137" si="32">Y137+AB137+AC137</f>
        <v>0</v>
      </c>
      <c r="AE137" s="2" t="s">
        <v>107</v>
      </c>
      <c r="AF137" t="s">
        <v>557</v>
      </c>
      <c r="AG137" s="8" t="s">
        <v>503</v>
      </c>
      <c r="AH137" s="2" t="s">
        <v>560</v>
      </c>
    </row>
    <row r="138" spans="1:34" hidden="1" x14ac:dyDescent="0.25">
      <c r="A138" s="5">
        <f>IF(B138="","",MAX($A$1:$A137)+1)</f>
        <v>137</v>
      </c>
      <c r="B138" s="8" t="s">
        <v>353</v>
      </c>
      <c r="C138" s="7">
        <f>IF(B138="","",MATCH(B138,Tables!F:F,0))</f>
        <v>15</v>
      </c>
      <c r="D138" s="3" t="str" cm="1">
        <f t="array" ref="D138">IF(C138="","",IF(ISERROR(C138),"",INDEX(Tables!E:E,C138)))</f>
        <v>trsctn</v>
      </c>
      <c r="E138" t="s">
        <v>181</v>
      </c>
      <c r="F138" s="1" t="str">
        <f t="shared" si="19"/>
        <v>trsctnRemoteLinkURL</v>
      </c>
      <c r="G138" t="s">
        <v>77</v>
      </c>
      <c r="H138"/>
      <c r="I138"/>
      <c r="R138" s="2" t="s">
        <v>118</v>
      </c>
      <c r="S138" t="s">
        <v>190</v>
      </c>
      <c r="V138" s="1" t="str">
        <f t="shared" si="23"/>
        <v/>
      </c>
      <c r="W138" s="53" t="str">
        <f t="shared" si="25"/>
        <v>typetext_size</v>
      </c>
      <c r="X138" s="53" t="str">
        <f t="shared" si="24"/>
        <v/>
      </c>
      <c r="Y138" s="53">
        <f t="shared" si="26"/>
        <v>0</v>
      </c>
      <c r="Z138" s="7">
        <f>IF($B138="",0,INDEX(Tables!$B:$B,MATCH($B138,Tables!$F:$F,0)))</f>
        <v>15</v>
      </c>
      <c r="AA138" s="7" t="str">
        <f>IF($T138="","",INDEX(Tables!$B:$B,MATCH($T138,Tables!$F:$F,0)))</f>
        <v/>
      </c>
      <c r="AB138" s="7">
        <f t="shared" si="20"/>
        <v>0</v>
      </c>
      <c r="AC138" s="7">
        <f t="shared" si="21"/>
        <v>0</v>
      </c>
      <c r="AD138" s="54">
        <f t="shared" si="22"/>
        <v>0</v>
      </c>
      <c r="AE138" s="2" t="s">
        <v>108</v>
      </c>
      <c r="AF138" t="s">
        <v>470</v>
      </c>
    </row>
    <row r="139" spans="1:34" hidden="1" x14ac:dyDescent="0.25">
      <c r="A139" s="5">
        <f>IF(B139="","",MAX($A$1:$A138)+1)</f>
        <v>138</v>
      </c>
      <c r="B139" s="8" t="s">
        <v>353</v>
      </c>
      <c r="C139" s="7">
        <f>IF(B139="","",MATCH(B139,Tables!F:F,0))</f>
        <v>15</v>
      </c>
      <c r="D139" s="3" t="str" cm="1">
        <f t="array" ref="D139">IF(C139="","",IF(ISERROR(C139),"",INDEX(Tables!E:E,C139)))</f>
        <v>trsctn</v>
      </c>
      <c r="E139" t="s">
        <v>182</v>
      </c>
      <c r="F139" s="1" t="str">
        <f t="shared" si="19"/>
        <v>trsctnRemotePrice</v>
      </c>
      <c r="G139" t="s">
        <v>244</v>
      </c>
      <c r="H139" s="17">
        <v>10</v>
      </c>
      <c r="I139" s="17">
        <v>2</v>
      </c>
      <c r="K139" s="2" t="s">
        <v>46</v>
      </c>
      <c r="S139" t="s">
        <v>191</v>
      </c>
      <c r="V139" s="1" t="str">
        <f t="shared" si="23"/>
        <v/>
      </c>
      <c r="W139" s="53" t="str">
        <f t="shared" si="25"/>
        <v>typedecimal_size10</v>
      </c>
      <c r="X139" s="53" t="str">
        <f t="shared" si="24"/>
        <v/>
      </c>
      <c r="Y139" s="53">
        <f t="shared" si="26"/>
        <v>0</v>
      </c>
      <c r="Z139" s="7">
        <f>IF($B139="",0,INDEX(Tables!$B:$B,MATCH($B139,Tables!$F:$F,0)))</f>
        <v>15</v>
      </c>
      <c r="AA139" s="7" t="str">
        <f>IF($T139="","",INDEX(Tables!$B:$B,MATCH($T139,Tables!$F:$F,0)))</f>
        <v/>
      </c>
      <c r="AB139" s="7">
        <f t="shared" si="20"/>
        <v>0</v>
      </c>
      <c r="AC139" s="7">
        <f t="shared" si="21"/>
        <v>0</v>
      </c>
      <c r="AD139" s="54">
        <f t="shared" si="22"/>
        <v>0</v>
      </c>
      <c r="AE139" s="2" t="s">
        <v>193</v>
      </c>
      <c r="AF139" t="s">
        <v>463</v>
      </c>
    </row>
    <row r="140" spans="1:34" hidden="1" x14ac:dyDescent="0.25">
      <c r="A140" s="5">
        <f>IF(B140="","",MAX($A$1:$A139)+1)</f>
        <v>139</v>
      </c>
      <c r="B140" s="8" t="s">
        <v>353</v>
      </c>
      <c r="C140" s="7">
        <f>IF(B140="","",MATCH(B140,Tables!F:F,0))</f>
        <v>15</v>
      </c>
      <c r="D140" s="3" t="str" cm="1">
        <f t="array" ref="D140">IF(C140="","",IF(ISERROR(C140),"",INDEX(Tables!E:E,C140)))</f>
        <v>trsctn</v>
      </c>
      <c r="E140" t="s">
        <v>183</v>
      </c>
      <c r="F140" s="1" t="str">
        <f t="shared" si="19"/>
        <v>trsctnRemoteExpirationDt</v>
      </c>
      <c r="G140" t="s">
        <v>80</v>
      </c>
      <c r="H140"/>
      <c r="I140"/>
      <c r="R140" s="2" t="s">
        <v>118</v>
      </c>
      <c r="S140" t="s">
        <v>192</v>
      </c>
      <c r="V140" s="1" t="str">
        <f t="shared" si="23"/>
        <v/>
      </c>
      <c r="W140" s="53" t="str">
        <f t="shared" si="25"/>
        <v>typeDate_size</v>
      </c>
      <c r="X140" s="53" t="str">
        <f t="shared" si="24"/>
        <v/>
      </c>
      <c r="Y140" s="53">
        <f t="shared" si="26"/>
        <v>0</v>
      </c>
      <c r="Z140" s="7">
        <f>IF($B140="",0,INDEX(Tables!$B:$B,MATCH($B140,Tables!$F:$F,0)))</f>
        <v>15</v>
      </c>
      <c r="AA140" s="7" t="str">
        <f>IF($T140="","",INDEX(Tables!$B:$B,MATCH($T140,Tables!$F:$F,0)))</f>
        <v/>
      </c>
      <c r="AB140" s="7">
        <f t="shared" si="20"/>
        <v>0</v>
      </c>
      <c r="AC140" s="7">
        <f t="shared" si="21"/>
        <v>0</v>
      </c>
      <c r="AD140" s="54">
        <f t="shared" si="22"/>
        <v>0</v>
      </c>
      <c r="AE140" s="2" t="s">
        <v>109</v>
      </c>
      <c r="AF140" t="s">
        <v>192</v>
      </c>
    </row>
    <row r="141" spans="1:34" hidden="1" x14ac:dyDescent="0.25">
      <c r="A141" s="5">
        <f>IF(B141="","",MAX($A$1:$A140)+1)</f>
        <v>140</v>
      </c>
      <c r="B141" s="8" t="s">
        <v>353</v>
      </c>
      <c r="C141" s="7">
        <f>IF(B141="","",MATCH(B141,Tables!F:F,0))</f>
        <v>15</v>
      </c>
      <c r="D141" s="3" t="str" cm="1">
        <f t="array" ref="D141">IF(C141="","",IF(ISERROR(C141),"",INDEX(Tables!E:E,C141)))</f>
        <v>trsctn</v>
      </c>
      <c r="E141" t="s">
        <v>110</v>
      </c>
      <c r="F141" s="1" t="str">
        <f t="shared" si="19"/>
        <v>trsctnSystemActive</v>
      </c>
      <c r="G141" t="s">
        <v>245</v>
      </c>
      <c r="H141" s="17">
        <v>1</v>
      </c>
      <c r="R141" s="2" t="s">
        <v>116</v>
      </c>
      <c r="S141" t="s">
        <v>119</v>
      </c>
      <c r="V141" s="1" t="str">
        <f t="shared" si="23"/>
        <v/>
      </c>
      <c r="W141" s="53" t="str">
        <f t="shared" si="25"/>
        <v>typebit_size1</v>
      </c>
      <c r="X141" s="53" t="str">
        <f t="shared" si="24"/>
        <v/>
      </c>
      <c r="Y141" s="53">
        <f t="shared" si="26"/>
        <v>0</v>
      </c>
      <c r="Z141" s="7">
        <f>IF($B141="",0,INDEX(Tables!$B:$B,MATCH($B141,Tables!$F:$F,0)))</f>
        <v>15</v>
      </c>
      <c r="AA141" s="7" t="str">
        <f>IF($T141="","",INDEX(Tables!$B:$B,MATCH($T141,Tables!$F:$F,0)))</f>
        <v/>
      </c>
      <c r="AB141" s="7">
        <f t="shared" si="20"/>
        <v>0</v>
      </c>
      <c r="AC141" s="7">
        <f t="shared" si="21"/>
        <v>0</v>
      </c>
      <c r="AD141" s="54">
        <f t="shared" si="22"/>
        <v>0</v>
      </c>
      <c r="AE141" s="2" t="s">
        <v>115</v>
      </c>
      <c r="AF141" t="s">
        <v>119</v>
      </c>
    </row>
    <row r="142" spans="1:34" hidden="1" x14ac:dyDescent="0.25">
      <c r="A142" s="5">
        <f>IF(B142="","",MAX($A$1:$A141)+1)</f>
        <v>141</v>
      </c>
      <c r="B142" s="8" t="s">
        <v>353</v>
      </c>
      <c r="C142" s="7">
        <f>IF(B142="","",MATCH(B142,Tables!F:F,0))</f>
        <v>15</v>
      </c>
      <c r="D142" s="3" t="str" cm="1">
        <f t="array" ref="D142">IF(C142="","",IF(ISERROR(C142),"",INDEX(Tables!E:E,C142)))</f>
        <v>trsctn</v>
      </c>
      <c r="E142" t="s">
        <v>111</v>
      </c>
      <c r="F142" s="1" t="str">
        <f t="shared" si="19"/>
        <v>trsctnSystemCreationDt</v>
      </c>
      <c r="G142" t="s">
        <v>297</v>
      </c>
      <c r="H142"/>
      <c r="I142"/>
      <c r="R142" s="2" t="s">
        <v>117</v>
      </c>
      <c r="S142" t="s">
        <v>120</v>
      </c>
      <c r="V142" s="1" t="str">
        <f t="shared" si="23"/>
        <v/>
      </c>
      <c r="W142" s="53" t="str">
        <f t="shared" si="25"/>
        <v>typeDATETIME_size</v>
      </c>
      <c r="X142" s="53" t="str">
        <f t="shared" si="24"/>
        <v/>
      </c>
      <c r="Y142" s="53">
        <f t="shared" si="26"/>
        <v>0</v>
      </c>
      <c r="Z142" s="7">
        <f>IF($B142="",0,INDEX(Tables!$B:$B,MATCH($B142,Tables!$F:$F,0)))</f>
        <v>15</v>
      </c>
      <c r="AA142" s="7" t="str">
        <f>IF($T142="","",INDEX(Tables!$B:$B,MATCH($T142,Tables!$F:$F,0)))</f>
        <v/>
      </c>
      <c r="AB142" s="7">
        <f t="shared" si="20"/>
        <v>0</v>
      </c>
      <c r="AC142" s="7">
        <f t="shared" si="21"/>
        <v>0</v>
      </c>
      <c r="AD142" s="54">
        <f t="shared" si="22"/>
        <v>0</v>
      </c>
      <c r="AE142" s="2" t="s">
        <v>109</v>
      </c>
      <c r="AF142" t="s">
        <v>120</v>
      </c>
    </row>
    <row r="143" spans="1:34" hidden="1" x14ac:dyDescent="0.25">
      <c r="A143" s="5">
        <f>IF(B143="","",MAX($A$1:$A142)+1)</f>
        <v>142</v>
      </c>
      <c r="B143" s="8" t="s">
        <v>353</v>
      </c>
      <c r="C143" s="7">
        <f>IF(B143="","",MATCH(B143,Tables!F:F,0))</f>
        <v>15</v>
      </c>
      <c r="D143" s="3" t="str" cm="1">
        <f t="array" ref="D143">IF(C143="","",IF(ISERROR(C143),"",INDEX(Tables!E:E,C143)))</f>
        <v>trsctn</v>
      </c>
      <c r="E143" t="s">
        <v>112</v>
      </c>
      <c r="F143" s="1" t="str">
        <f t="shared" si="19"/>
        <v>trsctnSystemCreationID</v>
      </c>
      <c r="G143" t="s">
        <v>243</v>
      </c>
      <c r="H143" s="17">
        <v>5</v>
      </c>
      <c r="K143" s="2" t="s">
        <v>46</v>
      </c>
      <c r="N143" s="2" t="s">
        <v>46</v>
      </c>
      <c r="S143" t="s">
        <v>121</v>
      </c>
      <c r="T143" s="8" t="s">
        <v>228</v>
      </c>
      <c r="U143" s="8" t="s">
        <v>232</v>
      </c>
      <c r="V143" s="1" t="str">
        <f t="shared" si="23"/>
        <v>FK_trsctnSystemCreationID_usrSystemIdx</v>
      </c>
      <c r="W143" s="53" t="str">
        <f t="shared" si="25"/>
        <v>typeint_size5_unsigned</v>
      </c>
      <c r="X143" s="53" t="str">
        <f t="shared" si="24"/>
        <v>typeint_size5_unsigned</v>
      </c>
      <c r="Y143" s="53">
        <f t="shared" si="26"/>
        <v>0</v>
      </c>
      <c r="Z143" s="7">
        <f>IF($B143="",0,INDEX(Tables!$B:$B,MATCH($B143,Tables!$F:$F,0)))</f>
        <v>15</v>
      </c>
      <c r="AA143" s="7">
        <f>IF($T143="","",INDEX(Tables!$B:$B,MATCH($T143,Tables!$F:$F,0)))</f>
        <v>0</v>
      </c>
      <c r="AB143" s="7">
        <f t="shared" si="20"/>
        <v>0</v>
      </c>
      <c r="AC143" s="7">
        <f t="shared" si="21"/>
        <v>0</v>
      </c>
      <c r="AD143" s="54">
        <f t="shared" si="22"/>
        <v>0</v>
      </c>
      <c r="AE143" s="2" t="s">
        <v>107</v>
      </c>
      <c r="AF143" t="s">
        <v>444</v>
      </c>
    </row>
    <row r="144" spans="1:34" hidden="1" x14ac:dyDescent="0.25">
      <c r="A144" s="5">
        <f>IF(B144="","",MAX($A$1:$A143)+1)</f>
        <v>143</v>
      </c>
      <c r="B144" s="8" t="s">
        <v>353</v>
      </c>
      <c r="C144" s="7">
        <f>IF(B144="","",MATCH(B144,Tables!F:F,0))</f>
        <v>15</v>
      </c>
      <c r="D144" s="3" t="str" cm="1">
        <f t="array" ref="D144">IF(C144="","",IF(ISERROR(C144),"",INDEX(Tables!E:E,C144)))</f>
        <v>trsctn</v>
      </c>
      <c r="E144" t="s">
        <v>113</v>
      </c>
      <c r="F144" s="1" t="str">
        <f t="shared" si="19"/>
        <v>trsctnSystemLastUpdateDt</v>
      </c>
      <c r="G144" t="s">
        <v>297</v>
      </c>
      <c r="H144"/>
      <c r="I144"/>
      <c r="R144" s="2" t="s">
        <v>118</v>
      </c>
      <c r="S144" t="s">
        <v>122</v>
      </c>
      <c r="V144" s="1" t="str">
        <f t="shared" si="23"/>
        <v/>
      </c>
      <c r="W144" s="53" t="str">
        <f t="shared" si="25"/>
        <v>typeDATETIME_size</v>
      </c>
      <c r="X144" s="53" t="str">
        <f t="shared" si="24"/>
        <v/>
      </c>
      <c r="Y144" s="53">
        <f t="shared" si="26"/>
        <v>0</v>
      </c>
      <c r="Z144" s="7">
        <f>IF($B144="",0,INDEX(Tables!$B:$B,MATCH($B144,Tables!$F:$F,0)))</f>
        <v>15</v>
      </c>
      <c r="AA144" s="7" t="str">
        <f>IF($T144="","",INDEX(Tables!$B:$B,MATCH($T144,Tables!$F:$F,0)))</f>
        <v/>
      </c>
      <c r="AB144" s="7">
        <f t="shared" si="20"/>
        <v>0</v>
      </c>
      <c r="AC144" s="7">
        <f t="shared" si="21"/>
        <v>0</v>
      </c>
      <c r="AD144" s="54">
        <f t="shared" si="22"/>
        <v>0</v>
      </c>
      <c r="AE144" s="2" t="s">
        <v>109</v>
      </c>
      <c r="AF144" t="s">
        <v>445</v>
      </c>
    </row>
    <row r="145" spans="1:34" hidden="1" x14ac:dyDescent="0.25">
      <c r="A145" s="5">
        <f>IF(B145="","",MAX($A$1:$A144)+1)</f>
        <v>144</v>
      </c>
      <c r="B145" s="8" t="s">
        <v>353</v>
      </c>
      <c r="C145" s="7">
        <f>IF(B145="","",MATCH(B145,Tables!F:F,0))</f>
        <v>15</v>
      </c>
      <c r="D145" s="3" t="str" cm="1">
        <f t="array" ref="D145">IF(C145="","",IF(ISERROR(C145),"",INDEX(Tables!E:E,C145)))</f>
        <v>trsctn</v>
      </c>
      <c r="E145" t="s">
        <v>114</v>
      </c>
      <c r="F145" s="1" t="str">
        <f t="shared" si="19"/>
        <v>trsctnSystemLastUpdateID</v>
      </c>
      <c r="G145" t="s">
        <v>243</v>
      </c>
      <c r="H145" s="17">
        <v>5</v>
      </c>
      <c r="N145" s="2" t="s">
        <v>46</v>
      </c>
      <c r="R145" s="2" t="s">
        <v>118</v>
      </c>
      <c r="S145" t="s">
        <v>123</v>
      </c>
      <c r="T145" s="8" t="s">
        <v>228</v>
      </c>
      <c r="U145" s="8" t="s">
        <v>232</v>
      </c>
      <c r="V145" s="1" t="str">
        <f t="shared" si="23"/>
        <v>FK_trsctnSystemLastUpdateID_usrSystemIdx</v>
      </c>
      <c r="W145" s="53" t="str">
        <f t="shared" si="25"/>
        <v>typeint_size5_unsigned</v>
      </c>
      <c r="X145" s="53" t="str">
        <f t="shared" si="24"/>
        <v>typeint_size5_unsigned</v>
      </c>
      <c r="Y145" s="53">
        <f t="shared" si="26"/>
        <v>0</v>
      </c>
      <c r="Z145" s="7">
        <f>IF($B145="",0,INDEX(Tables!$B:$B,MATCH($B145,Tables!$F:$F,0)))</f>
        <v>15</v>
      </c>
      <c r="AA145" s="7">
        <f>IF($T145="","",INDEX(Tables!$B:$B,MATCH($T145,Tables!$F:$F,0)))</f>
        <v>0</v>
      </c>
      <c r="AB145" s="7">
        <f t="shared" si="20"/>
        <v>0</v>
      </c>
      <c r="AC145" s="7">
        <f t="shared" si="21"/>
        <v>0</v>
      </c>
      <c r="AD145" s="54">
        <f t="shared" si="22"/>
        <v>0</v>
      </c>
      <c r="AE145" s="2" t="s">
        <v>107</v>
      </c>
      <c r="AF145" t="s">
        <v>443</v>
      </c>
    </row>
    <row r="146" spans="1:34" hidden="1" x14ac:dyDescent="0.25">
      <c r="A146" s="5">
        <f>IF(B146="","",MAX($A$1:$A145)+1)</f>
        <v>145</v>
      </c>
      <c r="B146" s="8" t="s">
        <v>319</v>
      </c>
      <c r="C146" s="7">
        <f>IF(B146="","",MATCH(B146,Tables!F:F,0))</f>
        <v>16</v>
      </c>
      <c r="D146" s="3" t="str" cm="1">
        <f t="array" ref="D146">IF(C146="","",IF(ISERROR(C146),"",INDEX(Tables!E:E,C146)))</f>
        <v>fntch</v>
      </c>
      <c r="E146" t="s">
        <v>218</v>
      </c>
      <c r="F146" s="1" t="str">
        <f t="shared" si="19"/>
        <v>fntchSystemIdx</v>
      </c>
      <c r="G146" t="s">
        <v>243</v>
      </c>
      <c r="H146" s="17">
        <v>3</v>
      </c>
      <c r="J146" s="2" t="s">
        <v>46</v>
      </c>
      <c r="K146" s="2" t="s">
        <v>46</v>
      </c>
      <c r="L146" s="2" t="s">
        <v>46</v>
      </c>
      <c r="N146" s="2" t="s">
        <v>46</v>
      </c>
      <c r="P146" s="2" t="s">
        <v>46</v>
      </c>
      <c r="S146" t="s">
        <v>208</v>
      </c>
      <c r="V146" s="1" t="str">
        <f t="shared" si="23"/>
        <v/>
      </c>
      <c r="W146" s="53" t="str">
        <f t="shared" si="25"/>
        <v>typeint_size3_unsigned</v>
      </c>
      <c r="X146" s="53" t="str">
        <f t="shared" si="24"/>
        <v/>
      </c>
      <c r="Y146" s="53">
        <f t="shared" si="26"/>
        <v>0</v>
      </c>
      <c r="Z146" s="7">
        <f>IF($B146="",0,INDEX(Tables!$B:$B,MATCH($B146,Tables!$F:$F,0)))</f>
        <v>7</v>
      </c>
      <c r="AA146" s="7" t="str">
        <f>IF($T146="","",INDEX(Tables!$B:$B,MATCH($T146,Tables!$F:$F,0)))</f>
        <v/>
      </c>
      <c r="AB146" s="7">
        <f t="shared" si="20"/>
        <v>0</v>
      </c>
      <c r="AC146" s="7">
        <f t="shared" si="21"/>
        <v>0</v>
      </c>
      <c r="AD146" s="54">
        <f t="shared" si="22"/>
        <v>0</v>
      </c>
      <c r="AE146" s="2" t="s">
        <v>107</v>
      </c>
      <c r="AF146" t="s">
        <v>414</v>
      </c>
    </row>
    <row r="147" spans="1:34" x14ac:dyDescent="0.25">
      <c r="A147" s="5">
        <f>IF(B147="","",MAX($A$1:$A146)+1)</f>
        <v>146</v>
      </c>
      <c r="B147" s="8" t="s">
        <v>319</v>
      </c>
      <c r="C147" s="7">
        <f>IF(B147="","",MATCH(B147,Tables!F:F,0))</f>
        <v>16</v>
      </c>
      <c r="D147" s="3" t="str" cm="1">
        <f t="array" ref="D147">IF(C147="","",IF(ISERROR(C147),"",INDEX(Tables!E:E,C147)))</f>
        <v>fntch</v>
      </c>
      <c r="E147" t="s">
        <v>127</v>
      </c>
      <c r="F147" s="1" t="str">
        <f t="shared" si="19"/>
        <v>fntchName</v>
      </c>
      <c r="G147" t="s">
        <v>77</v>
      </c>
      <c r="H147"/>
      <c r="I147"/>
      <c r="K147" s="2" t="s">
        <v>46</v>
      </c>
      <c r="S147" t="s">
        <v>197</v>
      </c>
      <c r="V147" s="1" t="str">
        <f t="shared" si="23"/>
        <v/>
      </c>
      <c r="W147" s="53" t="str">
        <f t="shared" si="25"/>
        <v>typetext_size</v>
      </c>
      <c r="X147" s="53" t="str">
        <f t="shared" si="24"/>
        <v/>
      </c>
      <c r="Y147" s="53">
        <f t="shared" si="26"/>
        <v>0</v>
      </c>
      <c r="Z147" s="7">
        <f>IF($B147="",0,INDEX(Tables!$B:$B,MATCH($B147,Tables!$F:$F,0)))</f>
        <v>7</v>
      </c>
      <c r="AA147" s="7" t="str">
        <f>IF($T147="","",INDEX(Tables!$B:$B,MATCH($T147,Tables!$F:$F,0)))</f>
        <v/>
      </c>
      <c r="AB147" s="7">
        <f t="shared" si="20"/>
        <v>0</v>
      </c>
      <c r="AC147" s="7">
        <f t="shared" si="21"/>
        <v>0</v>
      </c>
      <c r="AD147" s="54">
        <f t="shared" si="22"/>
        <v>0</v>
      </c>
      <c r="AE147" s="2" t="s">
        <v>108</v>
      </c>
      <c r="AF147" t="s">
        <v>417</v>
      </c>
      <c r="AH147" s="2" t="s">
        <v>559</v>
      </c>
    </row>
    <row r="148" spans="1:34" hidden="1" x14ac:dyDescent="0.25">
      <c r="A148" s="5">
        <f>IF(B148="","",MAX($A$1:$A147)+1)</f>
        <v>147</v>
      </c>
      <c r="B148" s="8" t="s">
        <v>319</v>
      </c>
      <c r="C148" s="7">
        <f>IF(B148="","",MATCH(B148,Tables!F:F,0))</f>
        <v>16</v>
      </c>
      <c r="D148" s="3" t="str" cm="1">
        <f t="array" ref="D148">IF(C148="","",IF(ISERROR(C148),"",INDEX(Tables!E:E,C148)))</f>
        <v>fntch</v>
      </c>
      <c r="E148" t="s">
        <v>194</v>
      </c>
      <c r="F148" s="1" t="str">
        <f t="shared" si="19"/>
        <v>fntchURL</v>
      </c>
      <c r="G148" t="s">
        <v>77</v>
      </c>
      <c r="H148"/>
      <c r="I148"/>
      <c r="K148" s="2" t="s">
        <v>46</v>
      </c>
      <c r="S148" t="s">
        <v>198</v>
      </c>
      <c r="V148" s="1" t="str">
        <f t="shared" si="23"/>
        <v/>
      </c>
      <c r="W148" s="53" t="str">
        <f t="shared" si="25"/>
        <v>typetext_size</v>
      </c>
      <c r="X148" s="53" t="str">
        <f t="shared" si="24"/>
        <v/>
      </c>
      <c r="Y148" s="53">
        <f t="shared" si="26"/>
        <v>0</v>
      </c>
      <c r="Z148" s="7">
        <f>IF($B148="",0,INDEX(Tables!$B:$B,MATCH($B148,Tables!$F:$F,0)))</f>
        <v>7</v>
      </c>
      <c r="AA148" s="7" t="str">
        <f>IF($T148="","",INDEX(Tables!$B:$B,MATCH($T148,Tables!$F:$F,0)))</f>
        <v/>
      </c>
      <c r="AB148" s="7">
        <f t="shared" si="20"/>
        <v>0</v>
      </c>
      <c r="AC148" s="7">
        <f t="shared" si="21"/>
        <v>0</v>
      </c>
      <c r="AD148" s="54">
        <f t="shared" si="22"/>
        <v>0</v>
      </c>
      <c r="AE148" s="2" t="s">
        <v>108</v>
      </c>
      <c r="AF148" t="s">
        <v>471</v>
      </c>
    </row>
    <row r="149" spans="1:34" hidden="1" x14ac:dyDescent="0.25">
      <c r="A149" s="5">
        <f>IF(B149="","",MAX($A$1:$A148)+1)</f>
        <v>148</v>
      </c>
      <c r="B149" s="8" t="s">
        <v>319</v>
      </c>
      <c r="C149" s="7">
        <f>IF(B149="","",MATCH(B149,Tables!F:F,0))</f>
        <v>16</v>
      </c>
      <c r="D149" s="3" t="str" cm="1">
        <f t="array" ref="D149">IF(C149="","",IF(ISERROR(C149),"",INDEX(Tables!E:E,C149)))</f>
        <v>fntch</v>
      </c>
      <c r="E149" t="s">
        <v>195</v>
      </c>
      <c r="F149" s="1" t="str">
        <f t="shared" si="19"/>
        <v>fntchPhone</v>
      </c>
      <c r="G149" t="s">
        <v>243</v>
      </c>
      <c r="H149" s="17">
        <v>10</v>
      </c>
      <c r="N149" s="2" t="s">
        <v>46</v>
      </c>
      <c r="R149" s="2" t="s">
        <v>118</v>
      </c>
      <c r="S149" t="s">
        <v>199</v>
      </c>
      <c r="V149" s="1" t="str">
        <f t="shared" si="23"/>
        <v/>
      </c>
      <c r="W149" s="53" t="str">
        <f t="shared" si="25"/>
        <v>typeint_size10_unsigned</v>
      </c>
      <c r="X149" s="53" t="str">
        <f t="shared" si="24"/>
        <v/>
      </c>
      <c r="Y149" s="53">
        <f t="shared" si="26"/>
        <v>0</v>
      </c>
      <c r="Z149" s="7">
        <f>IF($B149="",0,INDEX(Tables!$B:$B,MATCH($B149,Tables!$F:$F,0)))</f>
        <v>7</v>
      </c>
      <c r="AA149" s="7" t="str">
        <f>IF($T149="","",INDEX(Tables!$B:$B,MATCH($T149,Tables!$F:$F,0)))</f>
        <v/>
      </c>
      <c r="AB149" s="7">
        <f t="shared" si="20"/>
        <v>0</v>
      </c>
      <c r="AC149" s="7">
        <f t="shared" si="21"/>
        <v>0</v>
      </c>
      <c r="AD149" s="54">
        <f t="shared" si="22"/>
        <v>0</v>
      </c>
      <c r="AE149" s="2" t="s">
        <v>108</v>
      </c>
      <c r="AF149" t="s">
        <v>464</v>
      </c>
    </row>
    <row r="150" spans="1:34" hidden="1" x14ac:dyDescent="0.25">
      <c r="A150" s="5">
        <f>IF(B150="","",MAX($A$1:$A149)+1)</f>
        <v>149</v>
      </c>
      <c r="B150" s="8" t="s">
        <v>319</v>
      </c>
      <c r="C150" s="7">
        <f>IF(B150="","",MATCH(B150,Tables!F:F,0))</f>
        <v>16</v>
      </c>
      <c r="D150" s="3" t="str" cm="1">
        <f t="array" ref="D150">IF(C150="","",IF(ISERROR(C150),"",INDEX(Tables!E:E,C150)))</f>
        <v>fntch</v>
      </c>
      <c r="E150" t="s">
        <v>365</v>
      </c>
      <c r="F150" s="1" t="str">
        <f t="shared" si="19"/>
        <v>fntchContactMail</v>
      </c>
      <c r="G150" t="s">
        <v>77</v>
      </c>
      <c r="H150"/>
      <c r="I150"/>
      <c r="R150" s="2" t="s">
        <v>118</v>
      </c>
      <c r="S150" t="s">
        <v>200</v>
      </c>
      <c r="V150" s="1" t="str">
        <f t="shared" si="23"/>
        <v/>
      </c>
      <c r="W150" s="53" t="str">
        <f t="shared" si="25"/>
        <v>typetext_size</v>
      </c>
      <c r="X150" s="53" t="str">
        <f t="shared" si="24"/>
        <v/>
      </c>
      <c r="Y150" s="53">
        <f t="shared" si="26"/>
        <v>0</v>
      </c>
      <c r="Z150" s="7">
        <f>IF($B150="",0,INDEX(Tables!$B:$B,MATCH($B150,Tables!$F:$F,0)))</f>
        <v>7</v>
      </c>
      <c r="AA150" s="7" t="str">
        <f>IF($T150="","",INDEX(Tables!$B:$B,MATCH($T150,Tables!$F:$F,0)))</f>
        <v/>
      </c>
      <c r="AB150" s="7">
        <f t="shared" si="20"/>
        <v>0</v>
      </c>
      <c r="AC150" s="7">
        <f t="shared" si="21"/>
        <v>0</v>
      </c>
      <c r="AD150" s="54">
        <f t="shared" si="22"/>
        <v>0</v>
      </c>
      <c r="AE150" s="2" t="s">
        <v>108</v>
      </c>
      <c r="AF150" t="s">
        <v>472</v>
      </c>
    </row>
    <row r="151" spans="1:34" hidden="1" x14ac:dyDescent="0.25">
      <c r="A151" s="5">
        <f>IF(B151="","",MAX($A$1:$A149)+1)</f>
        <v>149</v>
      </c>
      <c r="B151" s="8" t="s">
        <v>319</v>
      </c>
      <c r="C151" s="7">
        <f>IF(B151="","",MATCH(B151,Tables!F:F,0))</f>
        <v>16</v>
      </c>
      <c r="D151" s="3" t="str" cm="1">
        <f t="array" ref="D151">IF(C151="","",IF(ISERROR(C151),"",INDEX(Tables!E:E,C151)))</f>
        <v>fntch</v>
      </c>
      <c r="E151" t="s">
        <v>523</v>
      </c>
      <c r="F151" s="1" t="str">
        <f t="shared" ref="F151" si="33">IF(E151="","",_xlfn.CONCAT(D151,E151))</f>
        <v>fntchModule</v>
      </c>
      <c r="G151" t="s">
        <v>77</v>
      </c>
      <c r="H151"/>
      <c r="I151"/>
      <c r="R151" s="2" t="s">
        <v>118</v>
      </c>
      <c r="S151" t="s">
        <v>524</v>
      </c>
      <c r="V151" s="1" t="str">
        <f t="shared" ref="V151" si="34">IF(OR(T151="",U151=""),"",_xlfn.CONCAT("FK_",F151,"_",U151))</f>
        <v/>
      </c>
      <c r="W151" s="53" t="str">
        <f t="shared" ref="W151" si="35">_xlfn.CONCAT("type",G151,"_size",H151,IF(M151="","","_binary"),IF(N151="","","_unsigned"),IF(O151="","","_zeroFill"))</f>
        <v>typetext_size</v>
      </c>
      <c r="X151" s="53" t="str">
        <f t="shared" si="24"/>
        <v/>
      </c>
      <c r="Y151" s="53">
        <f t="shared" ref="Y151" si="36">IF(X151="",0,IF(ISERROR(X151),1,IF(X151&lt;&gt;W151,1,0)))</f>
        <v>0</v>
      </c>
      <c r="Z151" s="7">
        <f>IF($B151="",0,INDEX(Tables!$B:$B,MATCH($B151,Tables!$F:$F,0)))</f>
        <v>7</v>
      </c>
      <c r="AA151" s="7" t="str">
        <f>IF($T151="","",INDEX(Tables!$B:$B,MATCH($T151,Tables!$F:$F,0)))</f>
        <v/>
      </c>
      <c r="AB151" s="7">
        <f t="shared" si="20"/>
        <v>0</v>
      </c>
      <c r="AC151" s="7">
        <f t="shared" ref="AC151" si="37">IF(L151="",0,IF(AND(OR(G151="int",G151="varchar",G151="datetime"),H151&lt;&gt;""),0,1))</f>
        <v>0</v>
      </c>
      <c r="AD151" s="54">
        <f t="shared" ref="AD151" si="38">Y151+AB151+AC151</f>
        <v>0</v>
      </c>
      <c r="AE151" s="2" t="s">
        <v>108</v>
      </c>
      <c r="AF151" t="s">
        <v>525</v>
      </c>
    </row>
    <row r="152" spans="1:34" hidden="1" x14ac:dyDescent="0.25">
      <c r="A152" s="5">
        <f>IF(B152="","",MAX($A$1:$A150)+1)</f>
        <v>150</v>
      </c>
      <c r="B152" s="8" t="s">
        <v>319</v>
      </c>
      <c r="C152" s="7">
        <f>IF(B152="","",MATCH(B152,Tables!F:F,0))</f>
        <v>16</v>
      </c>
      <c r="D152" s="3" t="str" cm="1">
        <f t="array" ref="D152">IF(C152="","",IF(ISERROR(C152),"",INDEX(Tables!E:E,C152)))</f>
        <v>fntch</v>
      </c>
      <c r="E152" t="s">
        <v>196</v>
      </c>
      <c r="F152" s="1" t="str">
        <f t="shared" si="19"/>
        <v>fntchGeneralparam</v>
      </c>
      <c r="G152" t="s">
        <v>77</v>
      </c>
      <c r="H152"/>
      <c r="I152"/>
      <c r="R152" s="2" t="s">
        <v>118</v>
      </c>
      <c r="S152" t="s">
        <v>201</v>
      </c>
      <c r="V152" s="1" t="str">
        <f t="shared" si="23"/>
        <v/>
      </c>
      <c r="W152" s="53" t="str">
        <f t="shared" si="25"/>
        <v>typetext_size</v>
      </c>
      <c r="X152" s="53" t="str">
        <f t="shared" si="24"/>
        <v/>
      </c>
      <c r="Y152" s="53">
        <f t="shared" si="26"/>
        <v>0</v>
      </c>
      <c r="Z152" s="7">
        <f>IF($B152="",0,INDEX(Tables!$B:$B,MATCH($B152,Tables!$F:$F,0)))</f>
        <v>7</v>
      </c>
      <c r="AA152" s="7" t="str">
        <f>IF($T152="","",INDEX(Tables!$B:$B,MATCH($T152,Tables!$F:$F,0)))</f>
        <v/>
      </c>
      <c r="AB152" s="7">
        <f t="shared" si="20"/>
        <v>0</v>
      </c>
      <c r="AC152" s="7">
        <f t="shared" si="21"/>
        <v>0</v>
      </c>
      <c r="AD152" s="54">
        <f t="shared" si="22"/>
        <v>0</v>
      </c>
      <c r="AE152" s="2" t="s">
        <v>108</v>
      </c>
      <c r="AF152" t="s">
        <v>473</v>
      </c>
    </row>
    <row r="153" spans="1:34" hidden="1" x14ac:dyDescent="0.25">
      <c r="A153" s="5">
        <f>IF(B153="","",MAX($A$1:$A152)+1)</f>
        <v>151</v>
      </c>
      <c r="B153" s="8" t="s">
        <v>319</v>
      </c>
      <c r="C153" s="7">
        <f>IF(B153="","",MATCH(B153,Tables!F:F,0))</f>
        <v>16</v>
      </c>
      <c r="D153" s="3" t="str" cm="1">
        <f t="array" ref="D153">IF(C153="","",IF(ISERROR(C153),"",INDEX(Tables!E:E,C153)))</f>
        <v>fntch</v>
      </c>
      <c r="E153" t="s">
        <v>110</v>
      </c>
      <c r="F153" s="1" t="str">
        <f t="shared" si="19"/>
        <v>fntchSystemActive</v>
      </c>
      <c r="G153" t="s">
        <v>245</v>
      </c>
      <c r="H153" s="17">
        <v>1</v>
      </c>
      <c r="R153" s="2" t="s">
        <v>116</v>
      </c>
      <c r="S153" t="s">
        <v>119</v>
      </c>
      <c r="V153" s="1" t="str">
        <f t="shared" si="23"/>
        <v/>
      </c>
      <c r="W153" s="53" t="str">
        <f t="shared" si="25"/>
        <v>typebit_size1</v>
      </c>
      <c r="X153" s="53" t="str">
        <f t="shared" si="24"/>
        <v/>
      </c>
      <c r="Y153" s="53">
        <f t="shared" si="26"/>
        <v>0</v>
      </c>
      <c r="Z153" s="7">
        <f>IF($B153="",0,INDEX(Tables!$B:$B,MATCH($B153,Tables!$F:$F,0)))</f>
        <v>7</v>
      </c>
      <c r="AA153" s="7" t="str">
        <f>IF($T153="","",INDEX(Tables!$B:$B,MATCH($T153,Tables!$F:$F,0)))</f>
        <v/>
      </c>
      <c r="AB153" s="7">
        <f t="shared" si="20"/>
        <v>0</v>
      </c>
      <c r="AC153" s="7">
        <f t="shared" si="21"/>
        <v>0</v>
      </c>
      <c r="AD153" s="54">
        <f t="shared" si="22"/>
        <v>0</v>
      </c>
      <c r="AE153" s="2" t="s">
        <v>115</v>
      </c>
      <c r="AF153" t="s">
        <v>119</v>
      </c>
    </row>
    <row r="154" spans="1:34" hidden="1" x14ac:dyDescent="0.25">
      <c r="A154" s="5">
        <f>IF(B154="","",MAX($A$1:$A153)+1)</f>
        <v>152</v>
      </c>
      <c r="B154" s="8" t="s">
        <v>319</v>
      </c>
      <c r="C154" s="7">
        <f>IF(B154="","",MATCH(B154,Tables!F:F,0))</f>
        <v>16</v>
      </c>
      <c r="D154" s="3" t="str" cm="1">
        <f t="array" ref="D154">IF(C154="","",IF(ISERROR(C154),"",INDEX(Tables!E:E,C154)))</f>
        <v>fntch</v>
      </c>
      <c r="E154" t="s">
        <v>111</v>
      </c>
      <c r="F154" s="1" t="str">
        <f t="shared" si="19"/>
        <v>fntchSystemCreationDt</v>
      </c>
      <c r="G154" t="s">
        <v>297</v>
      </c>
      <c r="H154"/>
      <c r="I154"/>
      <c r="R154" s="2" t="s">
        <v>117</v>
      </c>
      <c r="S154" t="s">
        <v>120</v>
      </c>
      <c r="V154" s="1" t="str">
        <f t="shared" si="23"/>
        <v/>
      </c>
      <c r="W154" s="53" t="str">
        <f t="shared" si="25"/>
        <v>typeDATETIME_size</v>
      </c>
      <c r="X154" s="53" t="str">
        <f t="shared" si="24"/>
        <v/>
      </c>
      <c r="Y154" s="53">
        <f t="shared" si="26"/>
        <v>0</v>
      </c>
      <c r="Z154" s="7">
        <f>IF($B154="",0,INDEX(Tables!$B:$B,MATCH($B154,Tables!$F:$F,0)))</f>
        <v>7</v>
      </c>
      <c r="AA154" s="7" t="str">
        <f>IF($T154="","",INDEX(Tables!$B:$B,MATCH($T154,Tables!$F:$F,0)))</f>
        <v/>
      </c>
      <c r="AB154" s="7">
        <f t="shared" si="20"/>
        <v>0</v>
      </c>
      <c r="AC154" s="7">
        <f t="shared" si="21"/>
        <v>0</v>
      </c>
      <c r="AD154" s="54">
        <f t="shared" si="22"/>
        <v>0</v>
      </c>
      <c r="AE154" s="2" t="s">
        <v>109</v>
      </c>
      <c r="AF154" t="s">
        <v>120</v>
      </c>
    </row>
    <row r="155" spans="1:34" hidden="1" x14ac:dyDescent="0.25">
      <c r="A155" s="5">
        <f>IF(B155="","",MAX($A$1:$A154)+1)</f>
        <v>153</v>
      </c>
      <c r="B155" s="8" t="s">
        <v>319</v>
      </c>
      <c r="C155" s="7">
        <f>IF(B155="","",MATCH(B155,Tables!F:F,0))</f>
        <v>16</v>
      </c>
      <c r="D155" s="3" t="str" cm="1">
        <f t="array" ref="D155">IF(C155="","",IF(ISERROR(C155),"",INDEX(Tables!E:E,C155)))</f>
        <v>fntch</v>
      </c>
      <c r="E155" t="s">
        <v>112</v>
      </c>
      <c r="F155" s="1" t="str">
        <f t="shared" si="19"/>
        <v>fntchSystemCreationID</v>
      </c>
      <c r="G155" t="s">
        <v>243</v>
      </c>
      <c r="H155" s="17">
        <v>5</v>
      </c>
      <c r="K155" s="2" t="s">
        <v>46</v>
      </c>
      <c r="N155" s="2" t="s">
        <v>46</v>
      </c>
      <c r="S155" t="s">
        <v>121</v>
      </c>
      <c r="T155" s="8" t="s">
        <v>228</v>
      </c>
      <c r="U155" s="8" t="s">
        <v>232</v>
      </c>
      <c r="V155" s="1" t="str">
        <f t="shared" si="23"/>
        <v>FK_fntchSystemCreationID_usrSystemIdx</v>
      </c>
      <c r="W155" s="53" t="str">
        <f t="shared" si="25"/>
        <v>typeint_size5_unsigned</v>
      </c>
      <c r="X155" s="53" t="str">
        <f t="shared" si="24"/>
        <v>typeint_size5_unsigned</v>
      </c>
      <c r="Y155" s="53">
        <f t="shared" si="26"/>
        <v>0</v>
      </c>
      <c r="Z155" s="7">
        <f>IF($B155="",0,INDEX(Tables!$B:$B,MATCH($B155,Tables!$F:$F,0)))</f>
        <v>7</v>
      </c>
      <c r="AA155" s="7">
        <f>IF($T155="","",INDEX(Tables!$B:$B,MATCH($T155,Tables!$F:$F,0)))</f>
        <v>0</v>
      </c>
      <c r="AB155" s="7">
        <f t="shared" si="20"/>
        <v>0</v>
      </c>
      <c r="AC155" s="7">
        <f t="shared" si="21"/>
        <v>0</v>
      </c>
      <c r="AD155" s="54">
        <f t="shared" si="22"/>
        <v>0</v>
      </c>
      <c r="AE155" s="2" t="s">
        <v>107</v>
      </c>
      <c r="AF155" t="s">
        <v>444</v>
      </c>
    </row>
    <row r="156" spans="1:34" hidden="1" x14ac:dyDescent="0.25">
      <c r="A156" s="5">
        <f>IF(B156="","",MAX($A$1:$A155)+1)</f>
        <v>154</v>
      </c>
      <c r="B156" s="8" t="s">
        <v>319</v>
      </c>
      <c r="C156" s="7">
        <f>IF(B156="","",MATCH(B156,Tables!F:F,0))</f>
        <v>16</v>
      </c>
      <c r="D156" s="3" t="str" cm="1">
        <f t="array" ref="D156">IF(C156="","",IF(ISERROR(C156),"",INDEX(Tables!E:E,C156)))</f>
        <v>fntch</v>
      </c>
      <c r="E156" t="s">
        <v>113</v>
      </c>
      <c r="F156" s="1" t="str">
        <f t="shared" si="19"/>
        <v>fntchSystemLastUpdateDt</v>
      </c>
      <c r="G156" t="s">
        <v>297</v>
      </c>
      <c r="H156"/>
      <c r="I156"/>
      <c r="R156" s="2" t="s">
        <v>118</v>
      </c>
      <c r="S156" t="s">
        <v>122</v>
      </c>
      <c r="V156" s="1" t="str">
        <f t="shared" si="23"/>
        <v/>
      </c>
      <c r="W156" s="53" t="str">
        <f t="shared" si="25"/>
        <v>typeDATETIME_size</v>
      </c>
      <c r="X156" s="53" t="str">
        <f t="shared" si="24"/>
        <v/>
      </c>
      <c r="Y156" s="53">
        <f t="shared" si="26"/>
        <v>0</v>
      </c>
      <c r="Z156" s="7">
        <f>IF($B156="",0,INDEX(Tables!$B:$B,MATCH($B156,Tables!$F:$F,0)))</f>
        <v>7</v>
      </c>
      <c r="AA156" s="7" t="str">
        <f>IF($T156="","",INDEX(Tables!$B:$B,MATCH($T156,Tables!$F:$F,0)))</f>
        <v/>
      </c>
      <c r="AB156" s="7">
        <f t="shared" si="20"/>
        <v>0</v>
      </c>
      <c r="AC156" s="7">
        <f t="shared" si="21"/>
        <v>0</v>
      </c>
      <c r="AD156" s="54">
        <f t="shared" si="22"/>
        <v>0</v>
      </c>
      <c r="AE156" s="2" t="s">
        <v>109</v>
      </c>
      <c r="AF156" t="s">
        <v>445</v>
      </c>
    </row>
    <row r="157" spans="1:34" hidden="1" x14ac:dyDescent="0.25">
      <c r="A157" s="5">
        <f>IF(B157="","",MAX($A$1:$A156)+1)</f>
        <v>155</v>
      </c>
      <c r="B157" s="8" t="s">
        <v>319</v>
      </c>
      <c r="C157" s="7">
        <f>IF(B157="","",MATCH(B157,Tables!F:F,0))</f>
        <v>16</v>
      </c>
      <c r="D157" s="3" t="str" cm="1">
        <f t="array" ref="D157">IF(C157="","",IF(ISERROR(C157),"",INDEX(Tables!E:E,C157)))</f>
        <v>fntch</v>
      </c>
      <c r="E157" t="s">
        <v>114</v>
      </c>
      <c r="F157" s="1" t="str">
        <f t="shared" si="19"/>
        <v>fntchSystemLastUpdateID</v>
      </c>
      <c r="G157" t="s">
        <v>243</v>
      </c>
      <c r="H157" s="17">
        <v>5</v>
      </c>
      <c r="N157" s="2" t="s">
        <v>46</v>
      </c>
      <c r="R157" s="2" t="s">
        <v>118</v>
      </c>
      <c r="S157" t="s">
        <v>123</v>
      </c>
      <c r="T157" s="8" t="s">
        <v>228</v>
      </c>
      <c r="U157" s="8" t="s">
        <v>232</v>
      </c>
      <c r="V157" s="1" t="str">
        <f t="shared" si="23"/>
        <v>FK_fntchSystemLastUpdateID_usrSystemIdx</v>
      </c>
      <c r="W157" s="53" t="str">
        <f t="shared" si="25"/>
        <v>typeint_size5_unsigned</v>
      </c>
      <c r="X157" s="53" t="str">
        <f t="shared" si="24"/>
        <v>typeint_size5_unsigned</v>
      </c>
      <c r="Y157" s="53">
        <f t="shared" si="26"/>
        <v>0</v>
      </c>
      <c r="Z157" s="7">
        <f>IF($B157="",0,INDEX(Tables!$B:$B,MATCH($B157,Tables!$F:$F,0)))</f>
        <v>7</v>
      </c>
      <c r="AA157" s="7">
        <f>IF($T157="","",INDEX(Tables!$B:$B,MATCH($T157,Tables!$F:$F,0)))</f>
        <v>0</v>
      </c>
      <c r="AB157" s="7">
        <f t="shared" si="20"/>
        <v>0</v>
      </c>
      <c r="AC157" s="7">
        <f t="shared" si="21"/>
        <v>0</v>
      </c>
      <c r="AD157" s="54">
        <f t="shared" si="22"/>
        <v>0</v>
      </c>
      <c r="AE157" s="2" t="s">
        <v>107</v>
      </c>
      <c r="AF157" t="s">
        <v>443</v>
      </c>
    </row>
    <row r="158" spans="1:34" hidden="1" x14ac:dyDescent="0.25">
      <c r="A158" s="5">
        <f>IF(B158="","",MAX($A$1:$A157)+1)</f>
        <v>156</v>
      </c>
      <c r="B158" s="8" t="s">
        <v>352</v>
      </c>
      <c r="C158" s="7">
        <f>IF(B158="","",MATCH(B158,Tables!F:F,0))</f>
        <v>14</v>
      </c>
      <c r="D158" s="3" t="str" cm="1">
        <f t="array" ref="D158">IF(C158="","",IF(ISERROR(C158),"",INDEX(Tables!E:E,C158)))</f>
        <v>fntacc</v>
      </c>
      <c r="E158" t="s">
        <v>218</v>
      </c>
      <c r="F158" s="1" t="str">
        <f t="shared" si="19"/>
        <v>fntaccSystemIdx</v>
      </c>
      <c r="G158" t="s">
        <v>243</v>
      </c>
      <c r="H158" s="17">
        <v>5</v>
      </c>
      <c r="J158" s="2" t="s">
        <v>46</v>
      </c>
      <c r="K158" s="2" t="s">
        <v>46</v>
      </c>
      <c r="L158" s="2" t="s">
        <v>46</v>
      </c>
      <c r="N158" s="2" t="s">
        <v>46</v>
      </c>
      <c r="P158" s="2" t="s">
        <v>46</v>
      </c>
      <c r="S158" t="s">
        <v>209</v>
      </c>
      <c r="V158" s="1" t="str">
        <f t="shared" si="23"/>
        <v/>
      </c>
      <c r="W158" s="53" t="str">
        <f t="shared" si="25"/>
        <v>typeint_size5_unsigned</v>
      </c>
      <c r="X158" s="53" t="str">
        <f t="shared" si="24"/>
        <v/>
      </c>
      <c r="Y158" s="53">
        <f t="shared" si="26"/>
        <v>0</v>
      </c>
      <c r="Z158" s="7">
        <f>IF($B158="",0,INDEX(Tables!$B:$B,MATCH($B158,Tables!$F:$F,0)))</f>
        <v>8</v>
      </c>
      <c r="AA158" s="7" t="str">
        <f>IF($T158="","",INDEX(Tables!$B:$B,MATCH($T158,Tables!$F:$F,0)))</f>
        <v/>
      </c>
      <c r="AB158" s="7">
        <f t="shared" si="20"/>
        <v>0</v>
      </c>
      <c r="AC158" s="7">
        <f t="shared" si="21"/>
        <v>0</v>
      </c>
      <c r="AD158" s="54">
        <f t="shared" si="22"/>
        <v>0</v>
      </c>
      <c r="AE158" s="2" t="s">
        <v>107</v>
      </c>
      <c r="AF158" t="s">
        <v>414</v>
      </c>
    </row>
    <row r="159" spans="1:34" x14ac:dyDescent="0.25">
      <c r="A159" s="5">
        <f>IF(B159="","",MAX($A$1:$A158)+1)</f>
        <v>157</v>
      </c>
      <c r="B159" s="8" t="s">
        <v>352</v>
      </c>
      <c r="C159" s="7">
        <f>IF(B159="","",MATCH(B159,Tables!F:F,0))</f>
        <v>14</v>
      </c>
      <c r="D159" s="3" t="str" cm="1">
        <f t="array" ref="D159">IF(C159="","",IF(ISERROR(C159),"",INDEX(Tables!E:E,C159)))</f>
        <v>fntacc</v>
      </c>
      <c r="E159" t="s">
        <v>127</v>
      </c>
      <c r="F159" s="1" t="str">
        <f t="shared" si="19"/>
        <v>fntaccName</v>
      </c>
      <c r="G159" t="s">
        <v>77</v>
      </c>
      <c r="H159"/>
      <c r="I159"/>
      <c r="K159" s="2" t="s">
        <v>46</v>
      </c>
      <c r="S159" t="s">
        <v>210</v>
      </c>
      <c r="V159" s="1" t="str">
        <f t="shared" si="23"/>
        <v/>
      </c>
      <c r="W159" s="53" t="str">
        <f t="shared" si="25"/>
        <v>typetext_size</v>
      </c>
      <c r="X159" s="53" t="str">
        <f t="shared" si="24"/>
        <v/>
      </c>
      <c r="Y159" s="53">
        <f t="shared" si="26"/>
        <v>0</v>
      </c>
      <c r="Z159" s="7">
        <f>IF($B159="",0,INDEX(Tables!$B:$B,MATCH($B159,Tables!$F:$F,0)))</f>
        <v>8</v>
      </c>
      <c r="AA159" s="7" t="str">
        <f>IF($T159="","",INDEX(Tables!$B:$B,MATCH($T159,Tables!$F:$F,0)))</f>
        <v/>
      </c>
      <c r="AB159" s="7">
        <f t="shared" si="20"/>
        <v>0</v>
      </c>
      <c r="AC159" s="7">
        <f t="shared" si="21"/>
        <v>0</v>
      </c>
      <c r="AD159" s="54">
        <f t="shared" si="22"/>
        <v>0</v>
      </c>
      <c r="AE159" s="2" t="s">
        <v>108</v>
      </c>
      <c r="AF159" t="s">
        <v>417</v>
      </c>
      <c r="AH159" s="2" t="s">
        <v>559</v>
      </c>
    </row>
    <row r="160" spans="1:34" x14ac:dyDescent="0.25">
      <c r="A160" s="5">
        <f>IF(B160="","",MAX($A$1:$A159)+1)</f>
        <v>158</v>
      </c>
      <c r="B160" s="8" t="s">
        <v>352</v>
      </c>
      <c r="C160" s="7">
        <f>IF(B160="","",MATCH(B160,Tables!F:F,0))</f>
        <v>14</v>
      </c>
      <c r="D160" s="3" t="str" cm="1">
        <f t="array" ref="D160">IF(C160="","",IF(ISERROR(C160),"",INDEX(Tables!E:E,C160)))</f>
        <v>fntacc</v>
      </c>
      <c r="E160" t="s">
        <v>204</v>
      </c>
      <c r="F160" s="1" t="str">
        <f t="shared" si="19"/>
        <v>fntaccLogin</v>
      </c>
      <c r="G160" t="s">
        <v>77</v>
      </c>
      <c r="H160"/>
      <c r="I160"/>
      <c r="K160" s="2" t="s">
        <v>46</v>
      </c>
      <c r="S160" t="s">
        <v>211</v>
      </c>
      <c r="V160" s="1" t="str">
        <f t="shared" si="23"/>
        <v/>
      </c>
      <c r="W160" s="53" t="str">
        <f t="shared" si="25"/>
        <v>typetext_size</v>
      </c>
      <c r="X160" s="53" t="str">
        <f t="shared" si="24"/>
        <v/>
      </c>
      <c r="Y160" s="53">
        <f t="shared" si="26"/>
        <v>0</v>
      </c>
      <c r="Z160" s="7">
        <f>IF($B160="",0,INDEX(Tables!$B:$B,MATCH($B160,Tables!$F:$F,0)))</f>
        <v>8</v>
      </c>
      <c r="AA160" s="7" t="str">
        <f>IF($T160="","",INDEX(Tables!$B:$B,MATCH($T160,Tables!$F:$F,0)))</f>
        <v/>
      </c>
      <c r="AB160" s="7">
        <f t="shared" si="20"/>
        <v>0</v>
      </c>
      <c r="AC160" s="7">
        <f t="shared" si="21"/>
        <v>0</v>
      </c>
      <c r="AD160" s="54">
        <f t="shared" si="22"/>
        <v>0</v>
      </c>
      <c r="AE160" s="2" t="s">
        <v>108</v>
      </c>
      <c r="AF160" t="s">
        <v>474</v>
      </c>
      <c r="AH160" s="2" t="s">
        <v>559</v>
      </c>
    </row>
    <row r="161" spans="1:34" hidden="1" x14ac:dyDescent="0.25">
      <c r="A161" s="5">
        <f>IF(B161="","",MAX($A$1:$A160)+1)</f>
        <v>159</v>
      </c>
      <c r="B161" s="8" t="s">
        <v>352</v>
      </c>
      <c r="C161" s="7">
        <f>IF(B161="","",MATCH(B161,Tables!F:F,0))</f>
        <v>14</v>
      </c>
      <c r="D161" s="3" t="str" cm="1">
        <f t="array" ref="D161">IF(C161="","",IF(ISERROR(C161),"",INDEX(Tables!E:E,C161)))</f>
        <v>fntacc</v>
      </c>
      <c r="E161" t="s">
        <v>205</v>
      </c>
      <c r="F161" s="1" t="str">
        <f t="shared" si="19"/>
        <v>fntaccTokenProduction</v>
      </c>
      <c r="G161" t="s">
        <v>77</v>
      </c>
      <c r="H161"/>
      <c r="I161"/>
      <c r="K161" s="2" t="s">
        <v>46</v>
      </c>
      <c r="S161" t="s">
        <v>212</v>
      </c>
      <c r="V161" s="1" t="str">
        <f t="shared" si="23"/>
        <v/>
      </c>
      <c r="W161" s="53" t="str">
        <f t="shared" si="25"/>
        <v>typetext_size</v>
      </c>
      <c r="X161" s="53" t="str">
        <f t="shared" si="24"/>
        <v/>
      </c>
      <c r="Y161" s="53">
        <f t="shared" si="26"/>
        <v>0</v>
      </c>
      <c r="Z161" s="7">
        <f>IF($B161="",0,INDEX(Tables!$B:$B,MATCH($B161,Tables!$F:$F,0)))</f>
        <v>8</v>
      </c>
      <c r="AA161" s="7" t="str">
        <f>IF($T161="","",INDEX(Tables!$B:$B,MATCH($T161,Tables!$F:$F,0)))</f>
        <v/>
      </c>
      <c r="AB161" s="7">
        <f t="shared" si="20"/>
        <v>0</v>
      </c>
      <c r="AC161" s="7">
        <f t="shared" si="21"/>
        <v>0</v>
      </c>
      <c r="AD161" s="54">
        <f t="shared" si="22"/>
        <v>0</v>
      </c>
      <c r="AE161" s="2" t="s">
        <v>108</v>
      </c>
      <c r="AF161" t="s">
        <v>212</v>
      </c>
    </row>
    <row r="162" spans="1:34" hidden="1" x14ac:dyDescent="0.25">
      <c r="A162" s="5">
        <f>IF(B162="","",MAX($A$1:$A161)+1)</f>
        <v>160</v>
      </c>
      <c r="B162" s="8" t="s">
        <v>352</v>
      </c>
      <c r="C162" s="7">
        <f>IF(B162="","",MATCH(B162,Tables!F:F,0))</f>
        <v>14</v>
      </c>
      <c r="D162" s="3" t="str" cm="1">
        <f t="array" ref="D162">IF(C162="","",IF(ISERROR(C162),"",INDEX(Tables!E:E,C162)))</f>
        <v>fntacc</v>
      </c>
      <c r="E162" t="s">
        <v>206</v>
      </c>
      <c r="F162" s="1" t="str">
        <f t="shared" si="19"/>
        <v>fntaccTokenSandBox</v>
      </c>
      <c r="G162" t="s">
        <v>77</v>
      </c>
      <c r="H162"/>
      <c r="I162"/>
      <c r="K162" s="2" t="s">
        <v>46</v>
      </c>
      <c r="S162" t="s">
        <v>213</v>
      </c>
      <c r="V162" s="1" t="str">
        <f t="shared" si="23"/>
        <v/>
      </c>
      <c r="W162" s="53" t="str">
        <f t="shared" si="25"/>
        <v>typetext_size</v>
      </c>
      <c r="X162" s="53" t="str">
        <f t="shared" si="24"/>
        <v/>
      </c>
      <c r="Y162" s="53">
        <f t="shared" si="26"/>
        <v>0</v>
      </c>
      <c r="Z162" s="7">
        <f>IF($B162="",0,INDEX(Tables!$B:$B,MATCH($B162,Tables!$F:$F,0)))</f>
        <v>8</v>
      </c>
      <c r="AA162" s="7" t="str">
        <f>IF($T162="","",INDEX(Tables!$B:$B,MATCH($T162,Tables!$F:$F,0)))</f>
        <v/>
      </c>
      <c r="AB162" s="7">
        <f t="shared" si="20"/>
        <v>0</v>
      </c>
      <c r="AC162" s="7">
        <f t="shared" si="21"/>
        <v>0</v>
      </c>
      <c r="AD162" s="54">
        <f t="shared" si="22"/>
        <v>0</v>
      </c>
      <c r="AE162" s="2" t="s">
        <v>108</v>
      </c>
      <c r="AF162" t="s">
        <v>475</v>
      </c>
    </row>
    <row r="163" spans="1:34" hidden="1" x14ac:dyDescent="0.25">
      <c r="A163" s="5">
        <f>IF(B163="","",MAX($A$1:$A162)+1)</f>
        <v>161</v>
      </c>
      <c r="B163" s="8" t="s">
        <v>352</v>
      </c>
      <c r="C163" s="7">
        <f>IF(B163="","",MATCH(B163,Tables!F:F,0))</f>
        <v>14</v>
      </c>
      <c r="D163" s="3" t="str" cm="1">
        <f t="array" ref="D163">IF(C163="","",IF(ISERROR(C163),"",INDEX(Tables!E:E,C163)))</f>
        <v>fntacc</v>
      </c>
      <c r="E163" t="s">
        <v>207</v>
      </c>
      <c r="F163" s="1" t="str">
        <f t="shared" si="19"/>
        <v>fntaccTestByerAccount</v>
      </c>
      <c r="G163" t="s">
        <v>77</v>
      </c>
      <c r="H163"/>
      <c r="I163"/>
      <c r="R163" s="2" t="s">
        <v>118</v>
      </c>
      <c r="S163" t="s">
        <v>215</v>
      </c>
      <c r="V163" s="1" t="str">
        <f t="shared" si="23"/>
        <v/>
      </c>
      <c r="W163" s="53" t="str">
        <f t="shared" si="25"/>
        <v>typetext_size</v>
      </c>
      <c r="X163" s="53" t="str">
        <f t="shared" si="24"/>
        <v/>
      </c>
      <c r="Y163" s="53">
        <f t="shared" si="26"/>
        <v>0</v>
      </c>
      <c r="Z163" s="7">
        <f>IF($B163="",0,INDEX(Tables!$B:$B,MATCH($B163,Tables!$F:$F,0)))</f>
        <v>8</v>
      </c>
      <c r="AA163" s="7" t="str">
        <f>IF($T163="","",INDEX(Tables!$B:$B,MATCH($T163,Tables!$F:$F,0)))</f>
        <v/>
      </c>
      <c r="AB163" s="7">
        <f t="shared" si="20"/>
        <v>0</v>
      </c>
      <c r="AC163" s="7">
        <f t="shared" si="21"/>
        <v>0</v>
      </c>
      <c r="AD163" s="54">
        <f t="shared" si="22"/>
        <v>0</v>
      </c>
      <c r="AE163" s="2" t="s">
        <v>108</v>
      </c>
      <c r="AF163" t="s">
        <v>476</v>
      </c>
    </row>
    <row r="164" spans="1:34" hidden="1" x14ac:dyDescent="0.25">
      <c r="A164" s="5">
        <f>IF(B164="","",MAX($A$1:$A163)+1)</f>
        <v>162</v>
      </c>
      <c r="B164" s="8" t="s">
        <v>352</v>
      </c>
      <c r="C164" s="7">
        <f>IF(B164="","",MATCH(B164,Tables!F:F,0))</f>
        <v>14</v>
      </c>
      <c r="D164" s="3" t="str" cm="1">
        <f t="array" ref="D164">IF(C164="","",IF(ISERROR(C164),"",INDEX(Tables!E:E,C164)))</f>
        <v>fntacc</v>
      </c>
      <c r="E164" t="s">
        <v>241</v>
      </c>
      <c r="F164" s="1" t="str">
        <f t="shared" si="19"/>
        <v>fntaccTestByerPass</v>
      </c>
      <c r="G164" t="s">
        <v>77</v>
      </c>
      <c r="H164"/>
      <c r="I164"/>
      <c r="R164" s="2" t="s">
        <v>118</v>
      </c>
      <c r="S164" t="s">
        <v>214</v>
      </c>
      <c r="V164" s="1" t="str">
        <f t="shared" si="23"/>
        <v/>
      </c>
      <c r="W164" s="53" t="str">
        <f t="shared" si="25"/>
        <v>typetext_size</v>
      </c>
      <c r="X164" s="53" t="str">
        <f t="shared" si="24"/>
        <v/>
      </c>
      <c r="Y164" s="53">
        <f t="shared" si="26"/>
        <v>0</v>
      </c>
      <c r="Z164" s="7">
        <f>IF($B164="",0,INDEX(Tables!$B:$B,MATCH($B164,Tables!$F:$F,0)))</f>
        <v>8</v>
      </c>
      <c r="AA164" s="7" t="str">
        <f>IF($T164="","",INDEX(Tables!$B:$B,MATCH($T164,Tables!$F:$F,0)))</f>
        <v/>
      </c>
      <c r="AB164" s="7">
        <f t="shared" si="20"/>
        <v>0</v>
      </c>
      <c r="AC164" s="7">
        <f t="shared" si="21"/>
        <v>0</v>
      </c>
      <c r="AD164" s="54">
        <f t="shared" si="22"/>
        <v>0</v>
      </c>
      <c r="AE164" s="2" t="s">
        <v>108</v>
      </c>
      <c r="AF164" t="s">
        <v>477</v>
      </c>
    </row>
    <row r="165" spans="1:34" hidden="1" x14ac:dyDescent="0.25">
      <c r="A165" s="5">
        <f>IF(B165="","",MAX($A$1:$A164)+1)</f>
        <v>163</v>
      </c>
      <c r="B165" s="8" t="s">
        <v>352</v>
      </c>
      <c r="C165" s="7">
        <f>IF(B165="","",MATCH(B165,Tables!F:F,0))</f>
        <v>14</v>
      </c>
      <c r="D165" s="3" t="str" cm="1">
        <f t="array" ref="D165">IF(C165="","",IF(ISERROR(C165),"",INDEX(Tables!E:E,C165)))</f>
        <v>fntacc</v>
      </c>
      <c r="E165" t="s">
        <v>110</v>
      </c>
      <c r="F165" s="1" t="str">
        <f t="shared" si="19"/>
        <v>fntaccSystemActive</v>
      </c>
      <c r="G165" t="s">
        <v>245</v>
      </c>
      <c r="H165" s="17">
        <v>1</v>
      </c>
      <c r="R165" s="2" t="s">
        <v>116</v>
      </c>
      <c r="S165" t="s">
        <v>119</v>
      </c>
      <c r="V165" s="1" t="str">
        <f t="shared" si="23"/>
        <v/>
      </c>
      <c r="W165" s="53" t="str">
        <f t="shared" si="25"/>
        <v>typebit_size1</v>
      </c>
      <c r="X165" s="53" t="str">
        <f t="shared" si="24"/>
        <v/>
      </c>
      <c r="Y165" s="53">
        <f t="shared" si="26"/>
        <v>0</v>
      </c>
      <c r="Z165" s="7">
        <f>IF($B165="",0,INDEX(Tables!$B:$B,MATCH($B165,Tables!$F:$F,0)))</f>
        <v>8</v>
      </c>
      <c r="AA165" s="7" t="str">
        <f>IF($T165="","",INDEX(Tables!$B:$B,MATCH($T165,Tables!$F:$F,0)))</f>
        <v/>
      </c>
      <c r="AB165" s="7">
        <f t="shared" si="20"/>
        <v>0</v>
      </c>
      <c r="AC165" s="7">
        <f t="shared" si="21"/>
        <v>0</v>
      </c>
      <c r="AD165" s="54">
        <f t="shared" si="22"/>
        <v>0</v>
      </c>
      <c r="AE165" s="2" t="s">
        <v>115</v>
      </c>
      <c r="AF165" t="s">
        <v>119</v>
      </c>
    </row>
    <row r="166" spans="1:34" hidden="1" x14ac:dyDescent="0.25">
      <c r="A166" s="5">
        <f>IF(B166="","",MAX($A$1:$A165)+1)</f>
        <v>164</v>
      </c>
      <c r="B166" s="8" t="s">
        <v>352</v>
      </c>
      <c r="C166" s="7">
        <f>IF(B166="","",MATCH(B166,Tables!F:F,0))</f>
        <v>14</v>
      </c>
      <c r="D166" s="3" t="str" cm="1">
        <f t="array" ref="D166">IF(C166="","",IF(ISERROR(C166),"",INDEX(Tables!E:E,C166)))</f>
        <v>fntacc</v>
      </c>
      <c r="E166" t="s">
        <v>111</v>
      </c>
      <c r="F166" s="1" t="str">
        <f t="shared" si="19"/>
        <v>fntaccSystemCreationDt</v>
      </c>
      <c r="G166" t="s">
        <v>297</v>
      </c>
      <c r="H166"/>
      <c r="I166"/>
      <c r="R166" s="2" t="s">
        <v>117</v>
      </c>
      <c r="S166" t="s">
        <v>120</v>
      </c>
      <c r="V166" s="1" t="str">
        <f t="shared" si="23"/>
        <v/>
      </c>
      <c r="W166" s="53" t="str">
        <f t="shared" si="25"/>
        <v>typeDATETIME_size</v>
      </c>
      <c r="X166" s="53" t="str">
        <f t="shared" si="24"/>
        <v/>
      </c>
      <c r="Y166" s="53">
        <f t="shared" si="26"/>
        <v>0</v>
      </c>
      <c r="Z166" s="7">
        <f>IF($B166="",0,INDEX(Tables!$B:$B,MATCH($B166,Tables!$F:$F,0)))</f>
        <v>8</v>
      </c>
      <c r="AA166" s="7" t="str">
        <f>IF($T166="","",INDEX(Tables!$B:$B,MATCH($T166,Tables!$F:$F,0)))</f>
        <v/>
      </c>
      <c r="AB166" s="7">
        <f t="shared" si="20"/>
        <v>0</v>
      </c>
      <c r="AC166" s="7">
        <f t="shared" si="21"/>
        <v>0</v>
      </c>
      <c r="AD166" s="54">
        <f t="shared" si="22"/>
        <v>0</v>
      </c>
      <c r="AE166" s="2" t="s">
        <v>109</v>
      </c>
      <c r="AF166" t="s">
        <v>120</v>
      </c>
    </row>
    <row r="167" spans="1:34" hidden="1" x14ac:dyDescent="0.25">
      <c r="A167" s="5">
        <f>IF(B167="","",MAX($A$1:$A166)+1)</f>
        <v>165</v>
      </c>
      <c r="B167" s="8" t="s">
        <v>352</v>
      </c>
      <c r="C167" s="7">
        <f>IF(B167="","",MATCH(B167,Tables!F:F,0))</f>
        <v>14</v>
      </c>
      <c r="D167" s="3" t="str" cm="1">
        <f t="array" ref="D167">IF(C167="","",IF(ISERROR(C167),"",INDEX(Tables!E:E,C167)))</f>
        <v>fntacc</v>
      </c>
      <c r="E167" t="s">
        <v>112</v>
      </c>
      <c r="F167" s="1" t="str">
        <f t="shared" si="19"/>
        <v>fntaccSystemCreationID</v>
      </c>
      <c r="G167" t="s">
        <v>243</v>
      </c>
      <c r="H167" s="17">
        <v>5</v>
      </c>
      <c r="K167" s="2" t="s">
        <v>46</v>
      </c>
      <c r="N167" s="2" t="s">
        <v>46</v>
      </c>
      <c r="S167" t="s">
        <v>121</v>
      </c>
      <c r="T167" s="8" t="s">
        <v>228</v>
      </c>
      <c r="U167" s="8" t="s">
        <v>232</v>
      </c>
      <c r="V167" s="1" t="str">
        <f t="shared" si="23"/>
        <v>FK_fntaccSystemCreationID_usrSystemIdx</v>
      </c>
      <c r="W167" s="53" t="str">
        <f t="shared" si="25"/>
        <v>typeint_size5_unsigned</v>
      </c>
      <c r="X167" s="53" t="str">
        <f t="shared" si="24"/>
        <v>typeint_size5_unsigned</v>
      </c>
      <c r="Y167" s="53">
        <f t="shared" si="26"/>
        <v>0</v>
      </c>
      <c r="Z167" s="7">
        <f>IF($B167="",0,INDEX(Tables!$B:$B,MATCH($B167,Tables!$F:$F,0)))</f>
        <v>8</v>
      </c>
      <c r="AA167" s="7">
        <f>IF($T167="","",INDEX(Tables!$B:$B,MATCH($T167,Tables!$F:$F,0)))</f>
        <v>0</v>
      </c>
      <c r="AB167" s="7">
        <f t="shared" si="20"/>
        <v>0</v>
      </c>
      <c r="AC167" s="7">
        <f t="shared" si="21"/>
        <v>0</v>
      </c>
      <c r="AD167" s="54">
        <f t="shared" si="22"/>
        <v>0</v>
      </c>
      <c r="AE167" s="2" t="s">
        <v>107</v>
      </c>
      <c r="AF167" t="s">
        <v>444</v>
      </c>
    </row>
    <row r="168" spans="1:34" hidden="1" x14ac:dyDescent="0.25">
      <c r="A168" s="5">
        <f>IF(B168="","",MAX($A$1:$A167)+1)</f>
        <v>166</v>
      </c>
      <c r="B168" s="8" t="s">
        <v>352</v>
      </c>
      <c r="C168" s="7">
        <f>IF(B168="","",MATCH(B168,Tables!F:F,0))</f>
        <v>14</v>
      </c>
      <c r="D168" s="3" t="str" cm="1">
        <f t="array" ref="D168">IF(C168="","",IF(ISERROR(C168),"",INDEX(Tables!E:E,C168)))</f>
        <v>fntacc</v>
      </c>
      <c r="E168" t="s">
        <v>113</v>
      </c>
      <c r="F168" s="1" t="str">
        <f t="shared" si="19"/>
        <v>fntaccSystemLastUpdateDt</v>
      </c>
      <c r="G168" t="s">
        <v>297</v>
      </c>
      <c r="H168"/>
      <c r="I168"/>
      <c r="R168" s="2" t="s">
        <v>118</v>
      </c>
      <c r="S168" t="s">
        <v>122</v>
      </c>
      <c r="V168" s="1" t="str">
        <f t="shared" si="23"/>
        <v/>
      </c>
      <c r="W168" s="53" t="str">
        <f t="shared" si="25"/>
        <v>typeDATETIME_size</v>
      </c>
      <c r="X168" s="53" t="str">
        <f t="shared" si="24"/>
        <v/>
      </c>
      <c r="Y168" s="53">
        <f t="shared" si="26"/>
        <v>0</v>
      </c>
      <c r="Z168" s="7">
        <f>IF($B168="",0,INDEX(Tables!$B:$B,MATCH($B168,Tables!$F:$F,0)))</f>
        <v>8</v>
      </c>
      <c r="AA168" s="7" t="str">
        <f>IF($T168="","",INDEX(Tables!$B:$B,MATCH($T168,Tables!$F:$F,0)))</f>
        <v/>
      </c>
      <c r="AB168" s="7">
        <f t="shared" si="20"/>
        <v>0</v>
      </c>
      <c r="AC168" s="7">
        <f t="shared" si="21"/>
        <v>0</v>
      </c>
      <c r="AD168" s="54">
        <f t="shared" si="22"/>
        <v>0</v>
      </c>
      <c r="AE168" s="2" t="s">
        <v>109</v>
      </c>
      <c r="AF168" t="s">
        <v>445</v>
      </c>
    </row>
    <row r="169" spans="1:34" hidden="1" x14ac:dyDescent="0.25">
      <c r="A169" s="5">
        <f>IF(B169="","",MAX($A$1:$A168)+1)</f>
        <v>167</v>
      </c>
      <c r="B169" s="8" t="s">
        <v>352</v>
      </c>
      <c r="C169" s="7">
        <f>IF(B169="","",MATCH(B169,Tables!F:F,0))</f>
        <v>14</v>
      </c>
      <c r="D169" s="3" t="str" cm="1">
        <f t="array" ref="D169">IF(C169="","",IF(ISERROR(C169),"",INDEX(Tables!E:E,C169)))</f>
        <v>fntacc</v>
      </c>
      <c r="E169" t="s">
        <v>114</v>
      </c>
      <c r="F169" s="1" t="str">
        <f t="shared" si="19"/>
        <v>fntaccSystemLastUpdateID</v>
      </c>
      <c r="G169" t="s">
        <v>243</v>
      </c>
      <c r="H169" s="17">
        <v>5</v>
      </c>
      <c r="N169" s="2" t="s">
        <v>46</v>
      </c>
      <c r="R169" s="2" t="s">
        <v>118</v>
      </c>
      <c r="S169" t="s">
        <v>123</v>
      </c>
      <c r="T169" s="8" t="s">
        <v>228</v>
      </c>
      <c r="U169" s="8" t="s">
        <v>232</v>
      </c>
      <c r="V169" s="1" t="str">
        <f t="shared" si="23"/>
        <v>FK_fntaccSystemLastUpdateID_usrSystemIdx</v>
      </c>
      <c r="W169" s="53" t="str">
        <f t="shared" si="25"/>
        <v>typeint_size5_unsigned</v>
      </c>
      <c r="X169" s="53" t="str">
        <f t="shared" si="24"/>
        <v>typeint_size5_unsigned</v>
      </c>
      <c r="Y169" s="53">
        <f t="shared" si="26"/>
        <v>0</v>
      </c>
      <c r="Z169" s="7">
        <f>IF($B169="",0,INDEX(Tables!$B:$B,MATCH($B169,Tables!$F:$F,0)))</f>
        <v>8</v>
      </c>
      <c r="AA169" s="7">
        <f>IF($T169="","",INDEX(Tables!$B:$B,MATCH($T169,Tables!$F:$F,0)))</f>
        <v>0</v>
      </c>
      <c r="AB169" s="7">
        <f t="shared" si="20"/>
        <v>0</v>
      </c>
      <c r="AC169" s="7">
        <f t="shared" si="21"/>
        <v>0</v>
      </c>
      <c r="AD169" s="54">
        <f t="shared" si="22"/>
        <v>0</v>
      </c>
      <c r="AE169" s="2" t="s">
        <v>107</v>
      </c>
      <c r="AF169" t="s">
        <v>443</v>
      </c>
    </row>
    <row r="170" spans="1:34" hidden="1" x14ac:dyDescent="0.25">
      <c r="A170" s="5">
        <f>IF(B170="","",MAX($A$1:$A169)+1)</f>
        <v>168</v>
      </c>
      <c r="B170" s="8" t="s">
        <v>354</v>
      </c>
      <c r="C170" s="7">
        <f>IF(B170="","",MATCH(B170,Tables!F:F,0))</f>
        <v>7</v>
      </c>
      <c r="D170" s="3" t="str" cm="1">
        <f t="array" ref="D170">IF(C170="","",IF(ISERROR(C170),"",INDEX(Tables!E:E,C170)))</f>
        <v>ordrsts</v>
      </c>
      <c r="E170" t="s">
        <v>218</v>
      </c>
      <c r="F170" s="1" t="str">
        <f t="shared" si="19"/>
        <v>ordrstsSystemIdx</v>
      </c>
      <c r="G170" t="s">
        <v>243</v>
      </c>
      <c r="H170" s="17">
        <v>2</v>
      </c>
      <c r="J170" s="2" t="s">
        <v>46</v>
      </c>
      <c r="K170" s="2" t="s">
        <v>46</v>
      </c>
      <c r="L170" s="2" t="s">
        <v>46</v>
      </c>
      <c r="N170" s="2" t="s">
        <v>46</v>
      </c>
      <c r="P170" s="2" t="s">
        <v>46</v>
      </c>
      <c r="S170" t="s">
        <v>322</v>
      </c>
      <c r="V170" s="1" t="str">
        <f t="shared" si="23"/>
        <v/>
      </c>
      <c r="W170" s="53" t="str">
        <f t="shared" si="25"/>
        <v>typeint_size2_unsigned</v>
      </c>
      <c r="X170" s="53" t="str">
        <f t="shared" si="24"/>
        <v/>
      </c>
      <c r="Y170" s="53">
        <f t="shared" si="26"/>
        <v>0</v>
      </c>
      <c r="Z170" s="7">
        <f>IF($B170="",0,INDEX(Tables!$B:$B,MATCH($B170,Tables!$F:$F,0)))</f>
        <v>11</v>
      </c>
      <c r="AA170" s="7" t="str">
        <f>IF($T170="","",INDEX(Tables!$B:$B,MATCH($T170,Tables!$F:$F,0)))</f>
        <v/>
      </c>
      <c r="AB170" s="7">
        <f t="shared" si="20"/>
        <v>0</v>
      </c>
      <c r="AC170" s="7">
        <f t="shared" si="21"/>
        <v>0</v>
      </c>
      <c r="AD170" s="54">
        <f t="shared" si="22"/>
        <v>0</v>
      </c>
      <c r="AE170" s="2" t="s">
        <v>107</v>
      </c>
      <c r="AF170" t="s">
        <v>414</v>
      </c>
    </row>
    <row r="171" spans="1:34" x14ac:dyDescent="0.25">
      <c r="A171" s="5">
        <f>IF(B171="","",MAX($A$1:$A170)+1)</f>
        <v>169</v>
      </c>
      <c r="B171" s="8" t="s">
        <v>354</v>
      </c>
      <c r="C171" s="7">
        <f>IF(B171="","",MATCH(B171,Tables!F:F,0))</f>
        <v>7</v>
      </c>
      <c r="D171" s="3" t="str" cm="1">
        <f t="array" ref="D171">IF(C171="","",IF(ISERROR(C171),"",INDEX(Tables!E:E,C171)))</f>
        <v>ordrsts</v>
      </c>
      <c r="E171" t="s">
        <v>127</v>
      </c>
      <c r="F171" s="1" t="str">
        <f t="shared" si="19"/>
        <v>ordrstsName</v>
      </c>
      <c r="G171" t="s">
        <v>248</v>
      </c>
      <c r="H171" s="17">
        <v>10</v>
      </c>
      <c r="L171" s="2" t="s">
        <v>46</v>
      </c>
      <c r="S171" t="s">
        <v>323</v>
      </c>
      <c r="V171" s="1" t="str">
        <f t="shared" si="23"/>
        <v/>
      </c>
      <c r="W171" s="53" t="str">
        <f t="shared" si="25"/>
        <v>typevarchar_size10</v>
      </c>
      <c r="X171" s="53" t="str">
        <f t="shared" si="24"/>
        <v/>
      </c>
      <c r="Y171" s="53">
        <f t="shared" si="26"/>
        <v>0</v>
      </c>
      <c r="Z171" s="7">
        <f>IF($B171="",0,INDEX(Tables!$B:$B,MATCH($B171,Tables!$F:$F,0)))</f>
        <v>11</v>
      </c>
      <c r="AA171" s="7" t="str">
        <f>IF($T171="","",INDEX(Tables!$B:$B,MATCH($T171,Tables!$F:$F,0)))</f>
        <v/>
      </c>
      <c r="AB171" s="7">
        <f t="shared" si="20"/>
        <v>0</v>
      </c>
      <c r="AC171" s="7">
        <f t="shared" si="21"/>
        <v>0</v>
      </c>
      <c r="AD171" s="54">
        <f t="shared" si="22"/>
        <v>0</v>
      </c>
      <c r="AE171" s="2" t="s">
        <v>108</v>
      </c>
      <c r="AF171" t="s">
        <v>478</v>
      </c>
      <c r="AH171" s="2" t="s">
        <v>559</v>
      </c>
    </row>
    <row r="172" spans="1:34" hidden="1" x14ac:dyDescent="0.25">
      <c r="A172" s="5">
        <f>IF(B172="","",MAX($A$1:$A171)+1)</f>
        <v>170</v>
      </c>
      <c r="B172" s="8" t="s">
        <v>354</v>
      </c>
      <c r="C172" s="7">
        <f>IF(B172="","",MATCH(B172,Tables!F:F,0))</f>
        <v>7</v>
      </c>
      <c r="D172" s="3" t="str" cm="1">
        <f t="array" ref="D172">IF(C172="","",IF(ISERROR(C172),"",INDEX(Tables!E:E,C172)))</f>
        <v>ordrsts</v>
      </c>
      <c r="E172" t="s">
        <v>324</v>
      </c>
      <c r="F172" s="1" t="str">
        <f t="shared" si="19"/>
        <v>ordrstsDescription</v>
      </c>
      <c r="G172" t="s">
        <v>77</v>
      </c>
      <c r="H172" s="17">
        <v>10</v>
      </c>
      <c r="R172" s="2" t="s">
        <v>118</v>
      </c>
      <c r="S172" t="s">
        <v>325</v>
      </c>
      <c r="V172" s="1" t="str">
        <f t="shared" si="23"/>
        <v/>
      </c>
      <c r="W172" s="53" t="str">
        <f t="shared" si="25"/>
        <v>typetext_size10</v>
      </c>
      <c r="X172" s="53" t="str">
        <f t="shared" si="24"/>
        <v/>
      </c>
      <c r="Y172" s="53">
        <f t="shared" si="26"/>
        <v>0</v>
      </c>
      <c r="Z172" s="7">
        <f>IF($B172="",0,INDEX(Tables!$B:$B,MATCH($B172,Tables!$F:$F,0)))</f>
        <v>11</v>
      </c>
      <c r="AA172" s="7" t="str">
        <f>IF($T172="","",INDEX(Tables!$B:$B,MATCH($T172,Tables!$F:$F,0)))</f>
        <v/>
      </c>
      <c r="AB172" s="7">
        <f t="shared" si="20"/>
        <v>0</v>
      </c>
      <c r="AC172" s="7">
        <f t="shared" si="21"/>
        <v>0</v>
      </c>
      <c r="AD172" s="54">
        <f t="shared" si="22"/>
        <v>0</v>
      </c>
      <c r="AE172" s="2" t="s">
        <v>108</v>
      </c>
      <c r="AF172" t="s">
        <v>47</v>
      </c>
    </row>
    <row r="173" spans="1:34" hidden="1" x14ac:dyDescent="0.25">
      <c r="A173" s="5">
        <f>IF(B173="","",MAX($A$1:$A172)+1)</f>
        <v>171</v>
      </c>
      <c r="B173" s="8" t="s">
        <v>354</v>
      </c>
      <c r="C173" s="7">
        <f>IF(B173="","",MATCH(B173,Tables!F:F,0))</f>
        <v>7</v>
      </c>
      <c r="D173" s="3" t="str" cm="1">
        <f t="array" ref="D173">IF(C173="","",IF(ISERROR(C173),"",INDEX(Tables!E:E,C173)))</f>
        <v>ordrsts</v>
      </c>
      <c r="E173" t="s">
        <v>111</v>
      </c>
      <c r="F173" s="1" t="str">
        <f t="shared" si="19"/>
        <v>ordrstsSystemCreationDt</v>
      </c>
      <c r="G173" t="s">
        <v>297</v>
      </c>
      <c r="R173" s="2" t="s">
        <v>117</v>
      </c>
      <c r="S173" t="s">
        <v>120</v>
      </c>
      <c r="V173" s="1" t="str">
        <f t="shared" si="23"/>
        <v/>
      </c>
      <c r="W173" s="53" t="str">
        <f t="shared" si="25"/>
        <v>typeDATETIME_size</v>
      </c>
      <c r="X173" s="53" t="str">
        <f t="shared" si="24"/>
        <v/>
      </c>
      <c r="Y173" s="53">
        <f t="shared" si="26"/>
        <v>0</v>
      </c>
      <c r="Z173" s="7">
        <f>IF($B173="",0,INDEX(Tables!$B:$B,MATCH($B173,Tables!$F:$F,0)))</f>
        <v>11</v>
      </c>
      <c r="AA173" s="7" t="str">
        <f>IF($T173="","",INDEX(Tables!$B:$B,MATCH($T173,Tables!$F:$F,0)))</f>
        <v/>
      </c>
      <c r="AB173" s="7">
        <f t="shared" si="20"/>
        <v>0</v>
      </c>
      <c r="AC173" s="7">
        <f t="shared" si="21"/>
        <v>0</v>
      </c>
      <c r="AD173" s="54">
        <f t="shared" si="22"/>
        <v>0</v>
      </c>
      <c r="AE173" s="2" t="s">
        <v>109</v>
      </c>
      <c r="AF173" t="s">
        <v>120</v>
      </c>
    </row>
    <row r="174" spans="1:34" hidden="1" x14ac:dyDescent="0.25">
      <c r="A174" s="5">
        <f>IF(B174="","",MAX($A$1:$A173)+1)</f>
        <v>172</v>
      </c>
      <c r="B174" s="8" t="s">
        <v>354</v>
      </c>
      <c r="C174" s="7">
        <f>IF(B174="","",MATCH(B174,Tables!F:F,0))</f>
        <v>7</v>
      </c>
      <c r="D174" s="3" t="str" cm="1">
        <f t="array" ref="D174">IF(C174="","",IF(ISERROR(C174),"",INDEX(Tables!E:E,C174)))</f>
        <v>ordrsts</v>
      </c>
      <c r="E174" t="s">
        <v>112</v>
      </c>
      <c r="F174" s="1" t="str">
        <f t="shared" si="19"/>
        <v>ordrstsSystemCreationID</v>
      </c>
      <c r="G174" t="s">
        <v>243</v>
      </c>
      <c r="H174" s="17">
        <v>5</v>
      </c>
      <c r="K174" s="2" t="s">
        <v>46</v>
      </c>
      <c r="N174" s="2" t="s">
        <v>46</v>
      </c>
      <c r="S174" t="s">
        <v>121</v>
      </c>
      <c r="T174" s="8" t="s">
        <v>228</v>
      </c>
      <c r="U174" s="8" t="s">
        <v>232</v>
      </c>
      <c r="V174" s="1" t="str">
        <f t="shared" si="23"/>
        <v>FK_ordrstsSystemCreationID_usrSystemIdx</v>
      </c>
      <c r="W174" s="53" t="str">
        <f t="shared" si="25"/>
        <v>typeint_size5_unsigned</v>
      </c>
      <c r="X174" s="53" t="str">
        <f t="shared" si="24"/>
        <v>typeint_size5_unsigned</v>
      </c>
      <c r="Y174" s="53">
        <f t="shared" si="26"/>
        <v>0</v>
      </c>
      <c r="Z174" s="7">
        <f>IF($B174="",0,INDEX(Tables!$B:$B,MATCH($B174,Tables!$F:$F,0)))</f>
        <v>11</v>
      </c>
      <c r="AA174" s="7">
        <f>IF($T174="","",INDEX(Tables!$B:$B,MATCH($T174,Tables!$F:$F,0)))</f>
        <v>0</v>
      </c>
      <c r="AB174" s="7">
        <f t="shared" si="20"/>
        <v>0</v>
      </c>
      <c r="AC174" s="7">
        <f t="shared" si="21"/>
        <v>0</v>
      </c>
      <c r="AD174" s="54">
        <f t="shared" si="22"/>
        <v>0</v>
      </c>
      <c r="AE174" s="2" t="s">
        <v>107</v>
      </c>
      <c r="AF174" t="s">
        <v>444</v>
      </c>
    </row>
    <row r="175" spans="1:34" hidden="1" x14ac:dyDescent="0.25">
      <c r="A175" s="5">
        <f>IF(B175="","",MAX($A$1:$A174)+1)</f>
        <v>173</v>
      </c>
      <c r="B175" s="8" t="s">
        <v>354</v>
      </c>
      <c r="C175" s="7">
        <f>IF(B175="","",MATCH(B175,Tables!F:F,0))</f>
        <v>7</v>
      </c>
      <c r="D175" s="3" t="str" cm="1">
        <f t="array" ref="D175">IF(C175="","",IF(ISERROR(C175),"",INDEX(Tables!E:E,C175)))</f>
        <v>ordrsts</v>
      </c>
      <c r="E175" t="s">
        <v>113</v>
      </c>
      <c r="F175" s="1" t="str">
        <f t="shared" si="19"/>
        <v>ordrstsSystemLastUpdateDt</v>
      </c>
      <c r="G175" t="s">
        <v>297</v>
      </c>
      <c r="R175" s="2" t="s">
        <v>118</v>
      </c>
      <c r="S175" t="s">
        <v>122</v>
      </c>
      <c r="V175" s="1" t="str">
        <f t="shared" si="23"/>
        <v/>
      </c>
      <c r="W175" s="53" t="str">
        <f t="shared" si="25"/>
        <v>typeDATETIME_size</v>
      </c>
      <c r="X175" s="53" t="str">
        <f t="shared" si="24"/>
        <v/>
      </c>
      <c r="Y175" s="53">
        <f t="shared" si="26"/>
        <v>0</v>
      </c>
      <c r="Z175" s="7">
        <f>IF($B175="",0,INDEX(Tables!$B:$B,MATCH($B175,Tables!$F:$F,0)))</f>
        <v>11</v>
      </c>
      <c r="AA175" s="7" t="str">
        <f>IF($T175="","",INDEX(Tables!$B:$B,MATCH($T175,Tables!$F:$F,0)))</f>
        <v/>
      </c>
      <c r="AB175" s="7">
        <f t="shared" si="20"/>
        <v>0</v>
      </c>
      <c r="AC175" s="7">
        <f t="shared" si="21"/>
        <v>0</v>
      </c>
      <c r="AD175" s="54">
        <f t="shared" si="22"/>
        <v>0</v>
      </c>
      <c r="AE175" s="2" t="s">
        <v>109</v>
      </c>
      <c r="AF175" t="s">
        <v>445</v>
      </c>
    </row>
    <row r="176" spans="1:34" hidden="1" x14ac:dyDescent="0.25">
      <c r="A176" s="5">
        <f>IF(B176="","",MAX($A$1:$A175)+1)</f>
        <v>174</v>
      </c>
      <c r="B176" s="8" t="s">
        <v>354</v>
      </c>
      <c r="C176" s="7">
        <f>IF(B176="","",MATCH(B176,Tables!F:F,0))</f>
        <v>7</v>
      </c>
      <c r="D176" s="3" t="str" cm="1">
        <f t="array" ref="D176">IF(C176="","",IF(ISERROR(C176),"",INDEX(Tables!E:E,C176)))</f>
        <v>ordrsts</v>
      </c>
      <c r="E176" t="s">
        <v>114</v>
      </c>
      <c r="F176" s="1" t="str">
        <f t="shared" si="19"/>
        <v>ordrstsSystemLastUpdateID</v>
      </c>
      <c r="G176" t="s">
        <v>243</v>
      </c>
      <c r="H176" s="17">
        <v>5</v>
      </c>
      <c r="N176" s="2" t="s">
        <v>46</v>
      </c>
      <c r="R176" s="2" t="s">
        <v>118</v>
      </c>
      <c r="S176" t="s">
        <v>123</v>
      </c>
      <c r="T176" s="8" t="s">
        <v>228</v>
      </c>
      <c r="U176" s="8" t="s">
        <v>232</v>
      </c>
      <c r="V176" s="1" t="str">
        <f t="shared" si="23"/>
        <v>FK_ordrstsSystemLastUpdateID_usrSystemIdx</v>
      </c>
      <c r="W176" s="53" t="str">
        <f t="shared" si="25"/>
        <v>typeint_size5_unsigned</v>
      </c>
      <c r="X176" s="53" t="str">
        <f t="shared" si="24"/>
        <v>typeint_size5_unsigned</v>
      </c>
      <c r="Y176" s="53">
        <f t="shared" si="26"/>
        <v>0</v>
      </c>
      <c r="Z176" s="7">
        <f>IF($B176="",0,INDEX(Tables!$B:$B,MATCH($B176,Tables!$F:$F,0)))</f>
        <v>11</v>
      </c>
      <c r="AA176" s="7">
        <f>IF($T176="","",INDEX(Tables!$B:$B,MATCH($T176,Tables!$F:$F,0)))</f>
        <v>0</v>
      </c>
      <c r="AB176" s="7">
        <f t="shared" si="20"/>
        <v>0</v>
      </c>
      <c r="AC176" s="7">
        <f t="shared" si="21"/>
        <v>0</v>
      </c>
      <c r="AD176" s="54">
        <f t="shared" si="22"/>
        <v>0</v>
      </c>
      <c r="AE176" s="2" t="s">
        <v>107</v>
      </c>
      <c r="AF176" t="s">
        <v>443</v>
      </c>
    </row>
    <row r="177" spans="1:34" hidden="1" x14ac:dyDescent="0.25">
      <c r="A177" s="5">
        <f>IF(B177="","",MAX($A$1:$A176)+1)</f>
        <v>175</v>
      </c>
      <c r="B177" s="8" t="s">
        <v>355</v>
      </c>
      <c r="C177" s="7">
        <f>IF(B177="","",MATCH(B177,Tables!F:F,0))</f>
        <v>6</v>
      </c>
      <c r="D177" s="3" t="str" cm="1">
        <f t="array" ref="D177">IF(C177="","",IF(ISERROR(C177),"",INDEX(Tables!E:E,C177)))</f>
        <v>ordritm</v>
      </c>
      <c r="E177" t="s">
        <v>218</v>
      </c>
      <c r="F177" s="1" t="str">
        <f t="shared" si="19"/>
        <v>ordritmSystemIdx</v>
      </c>
      <c r="G177" t="s">
        <v>243</v>
      </c>
      <c r="H177" s="17">
        <v>6</v>
      </c>
      <c r="J177" s="2" t="s">
        <v>46</v>
      </c>
      <c r="K177" s="2" t="s">
        <v>46</v>
      </c>
      <c r="L177" s="2" t="s">
        <v>46</v>
      </c>
      <c r="N177" s="2" t="s">
        <v>46</v>
      </c>
      <c r="P177" s="2" t="s">
        <v>46</v>
      </c>
      <c r="S177" t="s">
        <v>327</v>
      </c>
      <c r="V177" s="1" t="str">
        <f t="shared" si="23"/>
        <v/>
      </c>
      <c r="W177" s="53" t="str">
        <f t="shared" si="25"/>
        <v>typeint_size6_unsigned</v>
      </c>
      <c r="X177" s="53" t="str">
        <f t="shared" si="24"/>
        <v/>
      </c>
      <c r="Y177" s="53">
        <f t="shared" si="26"/>
        <v>0</v>
      </c>
      <c r="Z177" s="7">
        <f>IF($B177="",0,INDEX(Tables!$B:$B,MATCH($B177,Tables!$F:$F,0)))</f>
        <v>14</v>
      </c>
      <c r="AA177" s="7" t="str">
        <f>IF($T177="","",INDEX(Tables!$B:$B,MATCH($T177,Tables!$F:$F,0)))</f>
        <v/>
      </c>
      <c r="AB177" s="7">
        <f t="shared" si="20"/>
        <v>0</v>
      </c>
      <c r="AC177" s="7">
        <f t="shared" si="21"/>
        <v>0</v>
      </c>
      <c r="AD177" s="54">
        <f t="shared" si="22"/>
        <v>0</v>
      </c>
      <c r="AE177" s="2" t="s">
        <v>107</v>
      </c>
      <c r="AF177" t="s">
        <v>414</v>
      </c>
    </row>
    <row r="178" spans="1:34" hidden="1" x14ac:dyDescent="0.25">
      <c r="A178" s="5">
        <f>IF(B178="","",MAX($A$1:$A177)+1)</f>
        <v>176</v>
      </c>
      <c r="B178" s="8" t="s">
        <v>355</v>
      </c>
      <c r="C178" s="7">
        <f>IF(B178="","",MATCH(B178,Tables!F:F,0))</f>
        <v>6</v>
      </c>
      <c r="D178" s="3" t="str" cm="1">
        <f t="array" ref="D178">IF(C178="","",IF(ISERROR(C178),"",INDEX(Tables!E:E,C178)))</f>
        <v>ordritm</v>
      </c>
      <c r="E178" t="s">
        <v>177</v>
      </c>
      <c r="F178" s="1" t="str">
        <f t="shared" si="19"/>
        <v>ordritmSystemOrder</v>
      </c>
      <c r="G178" t="s">
        <v>243</v>
      </c>
      <c r="H178" s="17">
        <v>10</v>
      </c>
      <c r="K178" s="2" t="s">
        <v>46</v>
      </c>
      <c r="N178" s="2" t="s">
        <v>46</v>
      </c>
      <c r="S178" t="s">
        <v>328</v>
      </c>
      <c r="T178" s="8" t="s">
        <v>224</v>
      </c>
      <c r="U178" s="8" t="s">
        <v>238</v>
      </c>
      <c r="V178" s="1" t="str">
        <f t="shared" si="23"/>
        <v>FK_ordritmSystemOrder_ordrSystemIdx</v>
      </c>
      <c r="W178" s="53" t="str">
        <f t="shared" si="25"/>
        <v>typeint_size10_unsigned</v>
      </c>
      <c r="X178" s="53" t="str">
        <f t="shared" si="24"/>
        <v>typeint_size10_unsigned</v>
      </c>
      <c r="Y178" s="53">
        <f t="shared" si="26"/>
        <v>0</v>
      </c>
      <c r="Z178" s="7">
        <f>IF($B178="",0,INDEX(Tables!$B:$B,MATCH($B178,Tables!$F:$F,0)))</f>
        <v>14</v>
      </c>
      <c r="AA178" s="7">
        <f>IF($T178="","",INDEX(Tables!$B:$B,MATCH($T178,Tables!$F:$F,0)))</f>
        <v>12</v>
      </c>
      <c r="AB178" s="7">
        <f t="shared" si="20"/>
        <v>0</v>
      </c>
      <c r="AC178" s="7">
        <f t="shared" si="21"/>
        <v>0</v>
      </c>
      <c r="AD178" s="54">
        <f t="shared" si="22"/>
        <v>0</v>
      </c>
      <c r="AE178" s="2" t="s">
        <v>107</v>
      </c>
      <c r="AF178" t="s">
        <v>467</v>
      </c>
    </row>
    <row r="179" spans="1:34" x14ac:dyDescent="0.25">
      <c r="A179" s="5">
        <f>IF(B179="","",MAX($A$1:$A178)+1)</f>
        <v>177</v>
      </c>
      <c r="B179" s="8" t="s">
        <v>355</v>
      </c>
      <c r="C179" s="7">
        <f>IF(B179="","",MATCH(B179,Tables!F:F,0))</f>
        <v>6</v>
      </c>
      <c r="D179" s="3" t="str" cm="1">
        <f t="array" ref="D179">IF(C179="","",IF(ISERROR(C179),"",INDEX(Tables!E:E,C179)))</f>
        <v>ordritm</v>
      </c>
      <c r="E179" t="s">
        <v>136</v>
      </c>
      <c r="F179" s="1" t="str">
        <f t="shared" si="19"/>
        <v>ordritmProduct</v>
      </c>
      <c r="G179" t="s">
        <v>243</v>
      </c>
      <c r="H179" s="17">
        <v>5</v>
      </c>
      <c r="K179" s="2" t="s">
        <v>46</v>
      </c>
      <c r="N179" s="2" t="s">
        <v>46</v>
      </c>
      <c r="S179" t="s">
        <v>251</v>
      </c>
      <c r="T179" s="8" t="s">
        <v>226</v>
      </c>
      <c r="U179" s="8" t="s">
        <v>234</v>
      </c>
      <c r="V179" s="1" t="str">
        <f t="shared" si="23"/>
        <v>FK_ordritmProduct_prdctSystemIdx</v>
      </c>
      <c r="W179" s="53" t="str">
        <f t="shared" si="25"/>
        <v>typeint_size5_unsigned</v>
      </c>
      <c r="X179" s="53" t="str">
        <f t="shared" si="24"/>
        <v>typeint_size5_unsigned</v>
      </c>
      <c r="Y179" s="53">
        <f t="shared" si="26"/>
        <v>0</v>
      </c>
      <c r="Z179" s="7">
        <f>IF($B179="",0,INDEX(Tables!$B:$B,MATCH($B179,Tables!$F:$F,0)))</f>
        <v>14</v>
      </c>
      <c r="AA179" s="7">
        <f>IF($T179="","",INDEX(Tables!$B:$B,MATCH($T179,Tables!$F:$F,0)))</f>
        <v>4</v>
      </c>
      <c r="AB179" s="7">
        <f t="shared" si="20"/>
        <v>0</v>
      </c>
      <c r="AC179" s="7">
        <f t="shared" si="21"/>
        <v>0</v>
      </c>
      <c r="AD179" s="54">
        <f t="shared" si="22"/>
        <v>0</v>
      </c>
      <c r="AE179" s="2" t="s">
        <v>107</v>
      </c>
      <c r="AF179" t="s">
        <v>448</v>
      </c>
      <c r="AH179" s="2" t="s">
        <v>560</v>
      </c>
    </row>
    <row r="180" spans="1:34" x14ac:dyDescent="0.25">
      <c r="A180" s="5">
        <f>IF(B180="","",MAX($A$1:$A179)+1)</f>
        <v>178</v>
      </c>
      <c r="B180" s="8" t="s">
        <v>355</v>
      </c>
      <c r="C180" s="7">
        <f>IF(B180="","",MATCH(B180,Tables!F:F,0))</f>
        <v>6</v>
      </c>
      <c r="D180" s="3" t="str" cm="1">
        <f t="array" ref="D180">IF(C180="","",IF(ISERROR(C180),"",INDEX(Tables!E:E,C180)))</f>
        <v>ordritm</v>
      </c>
      <c r="E180" t="s">
        <v>138</v>
      </c>
      <c r="F180" s="1" t="str">
        <f>IF(E180="","",_xlfn.CONCAT(D180,E180))</f>
        <v>ordritmPromotion</v>
      </c>
      <c r="G180" t="s">
        <v>243</v>
      </c>
      <c r="H180" s="17">
        <v>4</v>
      </c>
      <c r="K180" s="2" t="s">
        <v>46</v>
      </c>
      <c r="N180" s="2" t="s">
        <v>46</v>
      </c>
      <c r="S180" t="s">
        <v>253</v>
      </c>
      <c r="T180" s="8" t="s">
        <v>227</v>
      </c>
      <c r="U180" s="8" t="s">
        <v>235</v>
      </c>
      <c r="V180" s="1" t="str">
        <f>IF(OR(T180="",U180=""),"",_xlfn.CONCAT("FK_",F180,"_",U180))</f>
        <v>FK_ordritmPromotion_prmtSystemIdx</v>
      </c>
      <c r="W180" s="53" t="str">
        <f>_xlfn.CONCAT("type",G180,"_size",H180,IF(M180="","","_binary"),IF(N180="","","_unsigned"),IF(O180="","","_zeroFill"))</f>
        <v>typeint_size4_unsigned</v>
      </c>
      <c r="X180" s="53" t="str">
        <f t="shared" si="24"/>
        <v>typeint_size4_unsigned</v>
      </c>
      <c r="Y180" s="53">
        <f>IF(X180="",0,IF(ISERROR(X180),1,IF(X180&lt;&gt;W180,1,0)))</f>
        <v>0</v>
      </c>
      <c r="Z180" s="7">
        <f>IF($B180="",0,INDEX(Tables!$B:$B,MATCH($B180,Tables!$F:$F,0)))</f>
        <v>14</v>
      </c>
      <c r="AA180" s="7">
        <f>IF($T180="","",INDEX(Tables!$B:$B,MATCH($T180,Tables!$F:$F,0)))</f>
        <v>10</v>
      </c>
      <c r="AB180" s="7">
        <f>IF($AA180="",0,IF(ISERROR($AA180),1,IF($Z180&lt;=$AA180,1,0)))</f>
        <v>0</v>
      </c>
      <c r="AC180" s="7">
        <f>IF(L180="",0,IF(AND(OR(G180="int",G180="varchar",G180="datetime"),H180&lt;&gt;""),0,1))</f>
        <v>0</v>
      </c>
      <c r="AD180" s="54">
        <f>Y180+AB180+AC180</f>
        <v>0</v>
      </c>
      <c r="AE180" s="2" t="s">
        <v>107</v>
      </c>
      <c r="AF180" t="s">
        <v>449</v>
      </c>
      <c r="AH180" s="2" t="s">
        <v>560</v>
      </c>
    </row>
    <row r="181" spans="1:34" hidden="1" x14ac:dyDescent="0.25">
      <c r="A181" s="5">
        <f>IF(B181="","",MAX($A$1:$A180)+1)</f>
        <v>179</v>
      </c>
      <c r="B181" s="8" t="s">
        <v>355</v>
      </c>
      <c r="C181" s="7">
        <f>IF(B181="","",MATCH(B181,Tables!F:F,0))</f>
        <v>6</v>
      </c>
      <c r="D181" s="3" t="str" cm="1">
        <f t="array" ref="D181">IF(C181="","",IF(ISERROR(C181),"",INDEX(Tables!E:E,C181)))</f>
        <v>ordritm</v>
      </c>
      <c r="E181" t="s">
        <v>137</v>
      </c>
      <c r="F181" s="1" t="str">
        <f t="shared" si="19"/>
        <v>ordritmPrice</v>
      </c>
      <c r="G181" t="s">
        <v>244</v>
      </c>
      <c r="H181" s="17">
        <v>10</v>
      </c>
      <c r="I181" s="17">
        <v>2</v>
      </c>
      <c r="K181" s="2" t="s">
        <v>46</v>
      </c>
      <c r="S181" t="s">
        <v>257</v>
      </c>
      <c r="V181" s="1" t="str">
        <f t="shared" si="23"/>
        <v/>
      </c>
      <c r="W181" s="53" t="str">
        <f t="shared" si="25"/>
        <v>typedecimal_size10</v>
      </c>
      <c r="X181" s="53" t="str">
        <f t="shared" si="24"/>
        <v/>
      </c>
      <c r="Y181" s="53">
        <f t="shared" si="26"/>
        <v>0</v>
      </c>
      <c r="Z181" s="7">
        <f>IF($B181="",0,INDEX(Tables!$B:$B,MATCH($B181,Tables!$F:$F,0)))</f>
        <v>14</v>
      </c>
      <c r="AA181" s="7" t="str">
        <f>IF($T181="","",INDEX(Tables!$B:$B,MATCH($T181,Tables!$F:$F,0)))</f>
        <v/>
      </c>
      <c r="AB181" s="7">
        <f t="shared" si="20"/>
        <v>0</v>
      </c>
      <c r="AC181" s="7">
        <f t="shared" si="21"/>
        <v>0</v>
      </c>
      <c r="AD181" s="54">
        <f t="shared" si="22"/>
        <v>0</v>
      </c>
      <c r="AE181" s="2" t="s">
        <v>193</v>
      </c>
      <c r="AF181" t="s">
        <v>479</v>
      </c>
    </row>
    <row r="182" spans="1:34" hidden="1" x14ac:dyDescent="0.25">
      <c r="A182" s="5">
        <f>IF(B182="","",MAX($A$1:$A181)+1)</f>
        <v>180</v>
      </c>
      <c r="B182" s="8" t="s">
        <v>355</v>
      </c>
      <c r="C182" s="7">
        <f>IF(B182="","",MATCH(B182,Tables!F:F,0))</f>
        <v>6</v>
      </c>
      <c r="D182" s="3" t="str" cm="1">
        <f t="array" ref="D182">IF(C182="","",IF(ISERROR(C182),"",INDEX(Tables!E:E,C182)))</f>
        <v>ordritm</v>
      </c>
      <c r="E182" t="s">
        <v>111</v>
      </c>
      <c r="F182" s="1" t="str">
        <f t="shared" si="19"/>
        <v>ordritmSystemCreationDt</v>
      </c>
      <c r="G182" t="s">
        <v>297</v>
      </c>
      <c r="R182" s="2" t="s">
        <v>117</v>
      </c>
      <c r="S182" t="s">
        <v>120</v>
      </c>
      <c r="V182" s="1" t="str">
        <f t="shared" ref="V182:V185" si="39">IF(OR(T182="",U182=""),"",_xlfn.CONCAT("FK_",F182,"_",U182))</f>
        <v/>
      </c>
      <c r="W182" s="53" t="str">
        <f t="shared" si="25"/>
        <v>typeDATETIME_size</v>
      </c>
      <c r="X182" s="53" t="str">
        <f t="shared" si="24"/>
        <v/>
      </c>
      <c r="Y182" s="53">
        <f t="shared" si="26"/>
        <v>0</v>
      </c>
      <c r="Z182" s="7">
        <f>IF($B182="",0,INDEX(Tables!$B:$B,MATCH($B182,Tables!$F:$F,0)))</f>
        <v>14</v>
      </c>
      <c r="AA182" s="7" t="str">
        <f>IF($T182="","",INDEX(Tables!$B:$B,MATCH($T182,Tables!$F:$F,0)))</f>
        <v/>
      </c>
      <c r="AB182" s="7">
        <f t="shared" si="20"/>
        <v>0</v>
      </c>
      <c r="AC182" s="7">
        <f t="shared" si="21"/>
        <v>0</v>
      </c>
      <c r="AD182" s="54">
        <f t="shared" si="22"/>
        <v>0</v>
      </c>
      <c r="AE182" s="2" t="s">
        <v>109</v>
      </c>
      <c r="AF182" t="s">
        <v>120</v>
      </c>
    </row>
    <row r="183" spans="1:34" hidden="1" x14ac:dyDescent="0.25">
      <c r="A183" s="5">
        <f>IF(B183="","",MAX($A$1:$A182)+1)</f>
        <v>181</v>
      </c>
      <c r="B183" s="8" t="s">
        <v>355</v>
      </c>
      <c r="C183" s="7">
        <f>IF(B183="","",MATCH(B183,Tables!F:F,0))</f>
        <v>6</v>
      </c>
      <c r="D183" s="3" t="str" cm="1">
        <f t="array" ref="D183">IF(C183="","",IF(ISERROR(C183),"",INDEX(Tables!E:E,C183)))</f>
        <v>ordritm</v>
      </c>
      <c r="E183" t="s">
        <v>112</v>
      </c>
      <c r="F183" s="1" t="str">
        <f t="shared" si="19"/>
        <v>ordritmSystemCreationID</v>
      </c>
      <c r="G183" t="s">
        <v>243</v>
      </c>
      <c r="H183" s="17">
        <v>5</v>
      </c>
      <c r="K183" s="2" t="s">
        <v>46</v>
      </c>
      <c r="N183" s="2" t="s">
        <v>46</v>
      </c>
      <c r="S183" t="s">
        <v>121</v>
      </c>
      <c r="T183" s="8" t="s">
        <v>228</v>
      </c>
      <c r="U183" s="8" t="s">
        <v>232</v>
      </c>
      <c r="V183" s="1" t="str">
        <f t="shared" si="39"/>
        <v>FK_ordritmSystemCreationID_usrSystemIdx</v>
      </c>
      <c r="W183" s="53" t="str">
        <f t="shared" si="25"/>
        <v>typeint_size5_unsigned</v>
      </c>
      <c r="X183" s="53" t="str">
        <f t="shared" si="24"/>
        <v>typeint_size5_unsigned</v>
      </c>
      <c r="Y183" s="53">
        <f t="shared" si="26"/>
        <v>0</v>
      </c>
      <c r="Z183" s="7">
        <f>IF($B183="",0,INDEX(Tables!$B:$B,MATCH($B183,Tables!$F:$F,0)))</f>
        <v>14</v>
      </c>
      <c r="AA183" s="7">
        <f>IF($T183="","",INDEX(Tables!$B:$B,MATCH($T183,Tables!$F:$F,0)))</f>
        <v>0</v>
      </c>
      <c r="AB183" s="7">
        <f t="shared" si="20"/>
        <v>0</v>
      </c>
      <c r="AC183" s="7">
        <f t="shared" si="21"/>
        <v>0</v>
      </c>
      <c r="AD183" s="54">
        <f t="shared" si="22"/>
        <v>0</v>
      </c>
      <c r="AE183" s="2" t="s">
        <v>107</v>
      </c>
      <c r="AF183" t="s">
        <v>444</v>
      </c>
    </row>
    <row r="184" spans="1:34" hidden="1" x14ac:dyDescent="0.25">
      <c r="A184" s="5">
        <f>IF(B184="","",MAX($A$1:$A183)+1)</f>
        <v>182</v>
      </c>
      <c r="B184" s="8" t="s">
        <v>355</v>
      </c>
      <c r="C184" s="7">
        <f>IF(B184="","",MATCH(B184,Tables!F:F,0))</f>
        <v>6</v>
      </c>
      <c r="D184" s="3" t="str" cm="1">
        <f t="array" ref="D184">IF(C184="","",IF(ISERROR(C184),"",INDEX(Tables!E:E,C184)))</f>
        <v>ordritm</v>
      </c>
      <c r="E184" t="s">
        <v>113</v>
      </c>
      <c r="F184" s="1" t="str">
        <f t="shared" si="19"/>
        <v>ordritmSystemLastUpdateDt</v>
      </c>
      <c r="G184" t="s">
        <v>297</v>
      </c>
      <c r="R184" s="2" t="s">
        <v>118</v>
      </c>
      <c r="S184" t="s">
        <v>122</v>
      </c>
      <c r="V184" s="1" t="str">
        <f t="shared" si="39"/>
        <v/>
      </c>
      <c r="W184" s="53" t="str">
        <f t="shared" si="25"/>
        <v>typeDATETIME_size</v>
      </c>
      <c r="X184" s="53" t="str">
        <f t="shared" si="24"/>
        <v/>
      </c>
      <c r="Y184" s="53">
        <f t="shared" si="26"/>
        <v>0</v>
      </c>
      <c r="Z184" s="7">
        <f>IF($B184="",0,INDEX(Tables!$B:$B,MATCH($B184,Tables!$F:$F,0)))</f>
        <v>14</v>
      </c>
      <c r="AA184" s="7" t="str">
        <f>IF($T184="","",INDEX(Tables!$B:$B,MATCH($T184,Tables!$F:$F,0)))</f>
        <v/>
      </c>
      <c r="AB184" s="7">
        <f t="shared" si="20"/>
        <v>0</v>
      </c>
      <c r="AC184" s="7">
        <f t="shared" si="21"/>
        <v>0</v>
      </c>
      <c r="AD184" s="54">
        <f t="shared" si="22"/>
        <v>0</v>
      </c>
      <c r="AE184" s="2" t="s">
        <v>109</v>
      </c>
      <c r="AF184" t="s">
        <v>445</v>
      </c>
    </row>
    <row r="185" spans="1:34" hidden="1" x14ac:dyDescent="0.25">
      <c r="A185" s="5">
        <f>IF(B185="","",MAX($A$1:$A184)+1)</f>
        <v>183</v>
      </c>
      <c r="B185" s="8" t="s">
        <v>355</v>
      </c>
      <c r="C185" s="7">
        <f>IF(B185="","",MATCH(B185,Tables!F:F,0))</f>
        <v>6</v>
      </c>
      <c r="D185" s="3" t="str" cm="1">
        <f t="array" ref="D185">IF(C185="","",IF(ISERROR(C185),"",INDEX(Tables!E:E,C185)))</f>
        <v>ordritm</v>
      </c>
      <c r="E185" t="s">
        <v>114</v>
      </c>
      <c r="F185" s="1" t="str">
        <f t="shared" si="19"/>
        <v>ordritmSystemLastUpdateID</v>
      </c>
      <c r="G185" t="s">
        <v>243</v>
      </c>
      <c r="H185" s="17">
        <v>5</v>
      </c>
      <c r="N185" s="2" t="s">
        <v>46</v>
      </c>
      <c r="R185" s="2" t="s">
        <v>118</v>
      </c>
      <c r="S185" t="s">
        <v>123</v>
      </c>
      <c r="T185" s="8" t="s">
        <v>228</v>
      </c>
      <c r="U185" s="8" t="s">
        <v>232</v>
      </c>
      <c r="V185" s="1" t="str">
        <f t="shared" si="39"/>
        <v>FK_ordritmSystemLastUpdateID_usrSystemIdx</v>
      </c>
      <c r="W185" s="53" t="str">
        <f t="shared" si="25"/>
        <v>typeint_size5_unsigned</v>
      </c>
      <c r="X185" s="53" t="str">
        <f t="shared" si="24"/>
        <v>typeint_size5_unsigned</v>
      </c>
      <c r="Y185" s="53">
        <f t="shared" si="26"/>
        <v>0</v>
      </c>
      <c r="Z185" s="7">
        <f>IF($B185="",0,INDEX(Tables!$B:$B,MATCH($B185,Tables!$F:$F,0)))</f>
        <v>14</v>
      </c>
      <c r="AA185" s="7">
        <f>IF($T185="","",INDEX(Tables!$B:$B,MATCH($T185,Tables!$F:$F,0)))</f>
        <v>0</v>
      </c>
      <c r="AB185" s="7">
        <f t="shared" si="20"/>
        <v>0</v>
      </c>
      <c r="AC185" s="7">
        <f t="shared" si="21"/>
        <v>0</v>
      </c>
      <c r="AD185" s="54">
        <f t="shared" si="22"/>
        <v>0</v>
      </c>
      <c r="AE185" s="2" t="s">
        <v>107</v>
      </c>
      <c r="AF185" t="s">
        <v>443</v>
      </c>
    </row>
    <row r="186" spans="1:34" hidden="1" x14ac:dyDescent="0.25">
      <c r="A186" s="5">
        <f>IF(B186="","",MAX($A$1:$A185)+1)</f>
        <v>184</v>
      </c>
      <c r="B186" s="8" t="s">
        <v>329</v>
      </c>
      <c r="C186" s="7">
        <f>IF(B186="","",MATCH(B186,Tables!F:F,0))</f>
        <v>17</v>
      </c>
      <c r="D186" s="3" t="str" cm="1">
        <f t="array" ref="D186">IF(C186="","",IF(ISERROR(C186),"",INDEX(Tables!E:E,C186)))</f>
        <v>trsctnsts</v>
      </c>
      <c r="E186" t="s">
        <v>218</v>
      </c>
      <c r="F186" s="1" t="str">
        <f t="shared" si="19"/>
        <v>trsctnstsSystemIdx</v>
      </c>
      <c r="G186" t="s">
        <v>243</v>
      </c>
      <c r="H186" s="17">
        <v>6</v>
      </c>
      <c r="J186" s="2" t="s">
        <v>46</v>
      </c>
      <c r="K186" s="2" t="s">
        <v>46</v>
      </c>
      <c r="L186" s="2" t="s">
        <v>46</v>
      </c>
      <c r="N186" s="2" t="s">
        <v>46</v>
      </c>
      <c r="P186" s="2" t="s">
        <v>46</v>
      </c>
      <c r="S186" t="s">
        <v>330</v>
      </c>
      <c r="V186" s="1" t="str">
        <f t="shared" si="23"/>
        <v/>
      </c>
      <c r="W186" s="53" t="str">
        <f t="shared" si="25"/>
        <v>typeint_size6_unsigned</v>
      </c>
      <c r="X186" s="53" t="str">
        <f t="shared" si="24"/>
        <v/>
      </c>
      <c r="Y186" s="53">
        <f t="shared" si="26"/>
        <v>0</v>
      </c>
      <c r="Z186" s="7">
        <f>IF($B186="",0,INDEX(Tables!$B:$B,MATCH($B186,Tables!$F:$F,0)))</f>
        <v>13</v>
      </c>
      <c r="AA186" s="7" t="str">
        <f>IF($T186="","",INDEX(Tables!$B:$B,MATCH($T186,Tables!$F:$F,0)))</f>
        <v/>
      </c>
      <c r="AB186" s="7">
        <f t="shared" si="20"/>
        <v>0</v>
      </c>
      <c r="AC186" s="7">
        <f t="shared" si="21"/>
        <v>0</v>
      </c>
      <c r="AD186" s="54">
        <f t="shared" si="22"/>
        <v>0</v>
      </c>
      <c r="AE186" s="2" t="s">
        <v>107</v>
      </c>
      <c r="AF186" t="s">
        <v>414</v>
      </c>
    </row>
    <row r="187" spans="1:34" x14ac:dyDescent="0.25">
      <c r="A187" s="5">
        <f>IF(B187="","",MAX($A$1:$A186)+1)</f>
        <v>185</v>
      </c>
      <c r="B187" s="8" t="s">
        <v>329</v>
      </c>
      <c r="C187" s="7">
        <f>IF(B187="","",MATCH(B187,Tables!F:F,0))</f>
        <v>17</v>
      </c>
      <c r="D187" s="3" t="str" cm="1">
        <f t="array" ref="D187">IF(C187="","",IF(ISERROR(C187),"",INDEX(Tables!E:E,C187)))</f>
        <v>trsctnsts</v>
      </c>
      <c r="E187" t="s">
        <v>331</v>
      </c>
      <c r="F187" s="1" t="str">
        <f t="shared" si="19"/>
        <v>trsctnstsFinTech</v>
      </c>
      <c r="G187" t="s">
        <v>243</v>
      </c>
      <c r="H187" s="17">
        <v>3</v>
      </c>
      <c r="K187" s="2" t="s">
        <v>46</v>
      </c>
      <c r="N187" s="2" t="s">
        <v>46</v>
      </c>
      <c r="S187" t="s">
        <v>208</v>
      </c>
      <c r="T187" s="8" t="s">
        <v>319</v>
      </c>
      <c r="U187" s="8" t="s">
        <v>332</v>
      </c>
      <c r="V187" s="1" t="str">
        <f t="shared" ref="V187" si="40">IF(OR(T187="",U187=""),"",_xlfn.CONCAT("FK_",F187,"_",U187))</f>
        <v>FK_trsctnstsFinTech_fntchSystemIdx</v>
      </c>
      <c r="W187" s="53" t="str">
        <f t="shared" si="25"/>
        <v>typeint_size3_unsigned</v>
      </c>
      <c r="X187" s="53" t="str">
        <f t="shared" si="24"/>
        <v>typeint_size3_unsigned</v>
      </c>
      <c r="Y187" s="53">
        <f t="shared" si="26"/>
        <v>0</v>
      </c>
      <c r="Z187" s="7">
        <f>IF($B187="",0,INDEX(Tables!$B:$B,MATCH($B187,Tables!$F:$F,0)))</f>
        <v>13</v>
      </c>
      <c r="AA187" s="7">
        <f>IF($T187="","",INDEX(Tables!$B:$B,MATCH($T187,Tables!$F:$F,0)))</f>
        <v>7</v>
      </c>
      <c r="AB187" s="7">
        <f t="shared" si="20"/>
        <v>0</v>
      </c>
      <c r="AC187" s="7">
        <f t="shared" si="21"/>
        <v>0</v>
      </c>
      <c r="AD187" s="54">
        <f t="shared" si="22"/>
        <v>0</v>
      </c>
      <c r="AE187" s="2" t="s">
        <v>107</v>
      </c>
      <c r="AF187" t="s">
        <v>331</v>
      </c>
      <c r="AH187" s="2" t="s">
        <v>560</v>
      </c>
    </row>
    <row r="188" spans="1:34" x14ac:dyDescent="0.25">
      <c r="A188" s="5">
        <f>IF(B188="","",MAX($A$1:$A187)+1)</f>
        <v>186</v>
      </c>
      <c r="B188" s="8" t="s">
        <v>329</v>
      </c>
      <c r="C188" s="7">
        <f>IF(B188="","",MATCH(B188,Tables!F:F,0))</f>
        <v>17</v>
      </c>
      <c r="D188" s="3" t="str" cm="1">
        <f t="array" ref="D188">IF(C188="","",IF(ISERROR(C188),"",INDEX(Tables!E:E,C188)))</f>
        <v>trsctnsts</v>
      </c>
      <c r="E188" t="s">
        <v>505</v>
      </c>
      <c r="F188" s="1" t="str">
        <f t="shared" si="19"/>
        <v>trsctnstsStatusCod</v>
      </c>
      <c r="G188" t="s">
        <v>243</v>
      </c>
      <c r="H188" s="17">
        <v>2</v>
      </c>
      <c r="K188" s="2" t="s">
        <v>46</v>
      </c>
      <c r="N188" s="2" t="s">
        <v>46</v>
      </c>
      <c r="S188" t="s">
        <v>506</v>
      </c>
      <c r="V188" s="1" t="str">
        <f t="shared" si="23"/>
        <v/>
      </c>
      <c r="W188" s="53" t="str">
        <f t="shared" si="25"/>
        <v>typeint_size2_unsigned</v>
      </c>
      <c r="X188" s="53" t="str">
        <f t="shared" si="24"/>
        <v/>
      </c>
      <c r="Y188" s="53">
        <f t="shared" si="26"/>
        <v>0</v>
      </c>
      <c r="Z188" s="7">
        <f>IF($B188="",0,INDEX(Tables!$B:$B,MATCH($B188,Tables!$F:$F,0)))</f>
        <v>13</v>
      </c>
      <c r="AA188" s="7" t="str">
        <f>IF($T188="","",INDEX(Tables!$B:$B,MATCH($T188,Tables!$F:$F,0)))</f>
        <v/>
      </c>
      <c r="AB188" s="7">
        <f t="shared" si="20"/>
        <v>0</v>
      </c>
      <c r="AC188" s="7">
        <f t="shared" si="21"/>
        <v>0</v>
      </c>
      <c r="AD188" s="54">
        <f t="shared" si="22"/>
        <v>0</v>
      </c>
      <c r="AE188" s="2" t="s">
        <v>107</v>
      </c>
      <c r="AF188" t="s">
        <v>480</v>
      </c>
      <c r="AH188" s="2" t="s">
        <v>560</v>
      </c>
    </row>
    <row r="189" spans="1:34" x14ac:dyDescent="0.25">
      <c r="A189" s="5">
        <f>IF(B189="","",MAX($A$1:$A188)+1)</f>
        <v>187</v>
      </c>
      <c r="B189" s="8" t="s">
        <v>329</v>
      </c>
      <c r="C189" s="7">
        <f>IF(B189="","",MATCH(B189,Tables!F:F,0))</f>
        <v>17</v>
      </c>
      <c r="D189" s="3" t="str" cm="1">
        <f t="array" ref="D189">IF(C189="","",IF(ISERROR(C189),"",INDEX(Tables!E:E,C189)))</f>
        <v>trsctnsts</v>
      </c>
      <c r="E189" t="s">
        <v>127</v>
      </c>
      <c r="F189" s="1" t="str">
        <f t="shared" si="19"/>
        <v>trsctnstsName</v>
      </c>
      <c r="G189" t="s">
        <v>77</v>
      </c>
      <c r="H189" s="17">
        <v>15</v>
      </c>
      <c r="K189" s="2" t="s">
        <v>46</v>
      </c>
      <c r="S189" t="s">
        <v>333</v>
      </c>
      <c r="V189" s="1" t="str">
        <f t="shared" si="23"/>
        <v/>
      </c>
      <c r="W189" s="53" t="str">
        <f t="shared" si="25"/>
        <v>typetext_size15</v>
      </c>
      <c r="X189" s="53" t="str">
        <f t="shared" si="24"/>
        <v/>
      </c>
      <c r="Y189" s="53">
        <f t="shared" si="26"/>
        <v>0</v>
      </c>
      <c r="Z189" s="7">
        <f>IF($B189="",0,INDEX(Tables!$B:$B,MATCH($B189,Tables!$F:$F,0)))</f>
        <v>13</v>
      </c>
      <c r="AA189" s="7" t="str">
        <f>IF($T189="","",INDEX(Tables!$B:$B,MATCH($T189,Tables!$F:$F,0)))</f>
        <v/>
      </c>
      <c r="AB189" s="7">
        <f t="shared" si="20"/>
        <v>0</v>
      </c>
      <c r="AC189" s="7">
        <f t="shared" si="21"/>
        <v>0</v>
      </c>
      <c r="AD189" s="54">
        <f t="shared" si="22"/>
        <v>0</v>
      </c>
      <c r="AE189" s="2" t="s">
        <v>108</v>
      </c>
      <c r="AF189" t="s">
        <v>417</v>
      </c>
      <c r="AH189" s="2" t="s">
        <v>559</v>
      </c>
    </row>
    <row r="190" spans="1:34" hidden="1" x14ac:dyDescent="0.25">
      <c r="A190" s="5">
        <f>IF(B190="","",MAX($A$1:$A189)+1)</f>
        <v>188</v>
      </c>
      <c r="B190" s="8" t="s">
        <v>329</v>
      </c>
      <c r="C190" s="7">
        <f>IF(B190="","",MATCH(B190,Tables!F:F,0))</f>
        <v>17</v>
      </c>
      <c r="D190" s="3" t="str" cm="1">
        <f t="array" ref="D190">IF(C190="","",IF(ISERROR(C190),"",INDEX(Tables!E:E,C190)))</f>
        <v>trsctnsts</v>
      </c>
      <c r="E190" t="s">
        <v>324</v>
      </c>
      <c r="F190" s="1" t="str">
        <f t="shared" si="19"/>
        <v>trsctnstsDescription</v>
      </c>
      <c r="G190" t="s">
        <v>77</v>
      </c>
      <c r="H190" s="17">
        <v>50</v>
      </c>
      <c r="R190" s="2" t="s">
        <v>118</v>
      </c>
      <c r="S190" t="s">
        <v>325</v>
      </c>
      <c r="V190" s="1" t="str">
        <f t="shared" si="23"/>
        <v/>
      </c>
      <c r="W190" s="53" t="str">
        <f t="shared" si="25"/>
        <v>typetext_size50</v>
      </c>
      <c r="X190" s="53" t="str">
        <f t="shared" si="24"/>
        <v/>
      </c>
      <c r="Y190" s="53">
        <f t="shared" si="26"/>
        <v>0</v>
      </c>
      <c r="Z190" s="7">
        <f>IF($B190="",0,INDEX(Tables!$B:$B,MATCH($B190,Tables!$F:$F,0)))</f>
        <v>13</v>
      </c>
      <c r="AA190" s="7" t="str">
        <f>IF($T190="","",INDEX(Tables!$B:$B,MATCH($T190,Tables!$F:$F,0)))</f>
        <v/>
      </c>
      <c r="AB190" s="7">
        <f t="shared" si="20"/>
        <v>0</v>
      </c>
      <c r="AC190" s="7">
        <f t="shared" si="21"/>
        <v>0</v>
      </c>
      <c r="AD190" s="54">
        <f t="shared" si="22"/>
        <v>0</v>
      </c>
      <c r="AE190" s="2" t="s">
        <v>108</v>
      </c>
      <c r="AF190" t="s">
        <v>47</v>
      </c>
    </row>
    <row r="191" spans="1:34" hidden="1" x14ac:dyDescent="0.25">
      <c r="A191" s="5">
        <f>IF(B191="","",MAX($A$1:$A190)+1)</f>
        <v>189</v>
      </c>
      <c r="B191" s="8" t="s">
        <v>329</v>
      </c>
      <c r="C191" s="7">
        <f>IF(B191="","",MATCH(B191,Tables!F:F,0))</f>
        <v>17</v>
      </c>
      <c r="D191" s="3" t="str" cm="1">
        <f t="array" ref="D191">IF(C191="","",IF(ISERROR(C191),"",INDEX(Tables!E:E,C191)))</f>
        <v>trsctnsts</v>
      </c>
      <c r="E191" t="s">
        <v>111</v>
      </c>
      <c r="F191" s="1" t="str">
        <f t="shared" si="19"/>
        <v>trsctnstsSystemCreationDt</v>
      </c>
      <c r="G191" t="s">
        <v>297</v>
      </c>
      <c r="R191" s="2" t="s">
        <v>117</v>
      </c>
      <c r="S191" t="s">
        <v>120</v>
      </c>
      <c r="V191" s="1" t="str">
        <f t="shared" si="23"/>
        <v/>
      </c>
      <c r="W191" s="53" t="str">
        <f t="shared" si="25"/>
        <v>typeDATETIME_size</v>
      </c>
      <c r="X191" s="53" t="str">
        <f t="shared" si="24"/>
        <v/>
      </c>
      <c r="Y191" s="53">
        <f t="shared" si="26"/>
        <v>0</v>
      </c>
      <c r="Z191" s="7">
        <f>IF($B191="",0,INDEX(Tables!$B:$B,MATCH($B191,Tables!$F:$F,0)))</f>
        <v>13</v>
      </c>
      <c r="AA191" s="7" t="str">
        <f>IF($T191="","",INDEX(Tables!$B:$B,MATCH($T191,Tables!$F:$F,0)))</f>
        <v/>
      </c>
      <c r="AB191" s="7">
        <f t="shared" si="20"/>
        <v>0</v>
      </c>
      <c r="AC191" s="7">
        <f t="shared" si="21"/>
        <v>0</v>
      </c>
      <c r="AD191" s="54">
        <f t="shared" si="22"/>
        <v>0</v>
      </c>
      <c r="AE191" s="2" t="s">
        <v>109</v>
      </c>
      <c r="AF191" t="s">
        <v>120</v>
      </c>
    </row>
    <row r="192" spans="1:34" hidden="1" x14ac:dyDescent="0.25">
      <c r="A192" s="5">
        <f>IF(B192="","",MAX($A$1:$A191)+1)</f>
        <v>190</v>
      </c>
      <c r="B192" s="8" t="s">
        <v>329</v>
      </c>
      <c r="C192" s="7">
        <f>IF(B192="","",MATCH(B192,Tables!F:F,0))</f>
        <v>17</v>
      </c>
      <c r="D192" s="3" t="str" cm="1">
        <f t="array" ref="D192">IF(C192="","",IF(ISERROR(C192),"",INDEX(Tables!E:E,C192)))</f>
        <v>trsctnsts</v>
      </c>
      <c r="E192" t="s">
        <v>112</v>
      </c>
      <c r="F192" s="1" t="str">
        <f t="shared" si="19"/>
        <v>trsctnstsSystemCreationID</v>
      </c>
      <c r="G192" t="s">
        <v>243</v>
      </c>
      <c r="H192" s="17">
        <v>5</v>
      </c>
      <c r="K192" s="2" t="s">
        <v>46</v>
      </c>
      <c r="N192" s="2" t="s">
        <v>46</v>
      </c>
      <c r="S192" t="s">
        <v>121</v>
      </c>
      <c r="T192" s="8" t="s">
        <v>228</v>
      </c>
      <c r="U192" s="8" t="s">
        <v>232</v>
      </c>
      <c r="V192" s="1" t="str">
        <f t="shared" si="23"/>
        <v>FK_trsctnstsSystemCreationID_usrSystemIdx</v>
      </c>
      <c r="W192" s="53" t="str">
        <f t="shared" si="25"/>
        <v>typeint_size5_unsigned</v>
      </c>
      <c r="X192" s="53" t="str">
        <f t="shared" si="24"/>
        <v>typeint_size5_unsigned</v>
      </c>
      <c r="Y192" s="53">
        <f t="shared" si="26"/>
        <v>0</v>
      </c>
      <c r="Z192" s="7">
        <f>IF($B192="",0,INDEX(Tables!$B:$B,MATCH($B192,Tables!$F:$F,0)))</f>
        <v>13</v>
      </c>
      <c r="AA192" s="7">
        <f>IF($T192="","",INDEX(Tables!$B:$B,MATCH($T192,Tables!$F:$F,0)))</f>
        <v>0</v>
      </c>
      <c r="AB192" s="7">
        <f t="shared" si="20"/>
        <v>0</v>
      </c>
      <c r="AC192" s="7">
        <f t="shared" si="21"/>
        <v>0</v>
      </c>
      <c r="AD192" s="54">
        <f t="shared" si="22"/>
        <v>0</v>
      </c>
      <c r="AE192" s="2" t="s">
        <v>107</v>
      </c>
      <c r="AF192" t="s">
        <v>444</v>
      </c>
    </row>
    <row r="193" spans="1:34" hidden="1" x14ac:dyDescent="0.25">
      <c r="A193" s="5">
        <f>IF(B193="","",MAX($A$1:$A192)+1)</f>
        <v>191</v>
      </c>
      <c r="B193" s="8" t="s">
        <v>329</v>
      </c>
      <c r="C193" s="7">
        <f>IF(B193="","",MATCH(B193,Tables!F:F,0))</f>
        <v>17</v>
      </c>
      <c r="D193" s="3" t="str" cm="1">
        <f t="array" ref="D193">IF(C193="","",IF(ISERROR(C193),"",INDEX(Tables!E:E,C193)))</f>
        <v>trsctnsts</v>
      </c>
      <c r="E193" t="s">
        <v>113</v>
      </c>
      <c r="F193" s="1" t="str">
        <f t="shared" si="19"/>
        <v>trsctnstsSystemLastUpdateDt</v>
      </c>
      <c r="G193" t="s">
        <v>297</v>
      </c>
      <c r="R193" s="2" t="s">
        <v>118</v>
      </c>
      <c r="S193" t="s">
        <v>122</v>
      </c>
      <c r="V193" s="1" t="str">
        <f t="shared" si="23"/>
        <v/>
      </c>
      <c r="W193" s="53" t="str">
        <f t="shared" si="25"/>
        <v>typeDATETIME_size</v>
      </c>
      <c r="X193" s="53" t="str">
        <f t="shared" si="24"/>
        <v/>
      </c>
      <c r="Y193" s="53">
        <f t="shared" si="26"/>
        <v>0</v>
      </c>
      <c r="Z193" s="7">
        <f>IF($B193="",0,INDEX(Tables!$B:$B,MATCH($B193,Tables!$F:$F,0)))</f>
        <v>13</v>
      </c>
      <c r="AA193" s="7" t="str">
        <f>IF($T193="","",INDEX(Tables!$B:$B,MATCH($T193,Tables!$F:$F,0)))</f>
        <v/>
      </c>
      <c r="AB193" s="7">
        <f t="shared" si="20"/>
        <v>0</v>
      </c>
      <c r="AC193" s="7">
        <f t="shared" si="21"/>
        <v>0</v>
      </c>
      <c r="AD193" s="54">
        <f t="shared" si="22"/>
        <v>0</v>
      </c>
      <c r="AE193" s="2" t="s">
        <v>109</v>
      </c>
      <c r="AF193" t="s">
        <v>445</v>
      </c>
    </row>
    <row r="194" spans="1:34" hidden="1" x14ac:dyDescent="0.25">
      <c r="A194" s="5">
        <f>IF(B194="","",MAX($A$1:$A193)+1)</f>
        <v>192</v>
      </c>
      <c r="B194" s="8" t="s">
        <v>329</v>
      </c>
      <c r="C194" s="7">
        <f>IF(B194="","",MATCH(B194,Tables!F:F,0))</f>
        <v>17</v>
      </c>
      <c r="D194" s="3" t="str" cm="1">
        <f t="array" ref="D194">IF(C194="","",IF(ISERROR(C194),"",INDEX(Tables!E:E,C194)))</f>
        <v>trsctnsts</v>
      </c>
      <c r="E194" t="s">
        <v>114</v>
      </c>
      <c r="F194" s="1" t="str">
        <f t="shared" si="19"/>
        <v>trsctnstsSystemLastUpdateID</v>
      </c>
      <c r="G194" t="s">
        <v>243</v>
      </c>
      <c r="H194" s="17">
        <v>5</v>
      </c>
      <c r="N194" s="2" t="s">
        <v>46</v>
      </c>
      <c r="R194" s="2" t="s">
        <v>118</v>
      </c>
      <c r="S194" t="s">
        <v>123</v>
      </c>
      <c r="T194" s="8" t="s">
        <v>228</v>
      </c>
      <c r="U194" s="8" t="s">
        <v>232</v>
      </c>
      <c r="V194" s="1" t="str">
        <f t="shared" si="23"/>
        <v>FK_trsctnstsSystemLastUpdateID_usrSystemIdx</v>
      </c>
      <c r="W194" s="53" t="str">
        <f t="shared" si="25"/>
        <v>typeint_size5_unsigned</v>
      </c>
      <c r="X194" s="53" t="str">
        <f t="shared" ref="X194:X226" si="41">IF(U194="","",INDEX(W:W,MATCH(U194,F:F,)))</f>
        <v>typeint_size5_unsigned</v>
      </c>
      <c r="Y194" s="53">
        <f t="shared" si="26"/>
        <v>0</v>
      </c>
      <c r="Z194" s="7">
        <f>IF($B194="",0,INDEX(Tables!$B:$B,MATCH($B194,Tables!$F:$F,0)))</f>
        <v>13</v>
      </c>
      <c r="AA194" s="7">
        <f>IF($T194="","",INDEX(Tables!$B:$B,MATCH($T194,Tables!$F:$F,0)))</f>
        <v>0</v>
      </c>
      <c r="AB194" s="7">
        <f t="shared" si="20"/>
        <v>0</v>
      </c>
      <c r="AC194" s="7">
        <f t="shared" si="21"/>
        <v>0</v>
      </c>
      <c r="AD194" s="54">
        <f t="shared" si="22"/>
        <v>0</v>
      </c>
      <c r="AE194" s="2" t="s">
        <v>107</v>
      </c>
      <c r="AF194" t="s">
        <v>443</v>
      </c>
    </row>
    <row r="195" spans="1:34" hidden="1" x14ac:dyDescent="0.25">
      <c r="A195" s="5">
        <f>IF(B195="","",MAX($A$1:$A194)+1)</f>
        <v>193</v>
      </c>
      <c r="B195" s="8" t="s">
        <v>334</v>
      </c>
      <c r="C195" s="7">
        <f>IF(B195="","",MATCH(B195,Tables!F:F,0))</f>
        <v>8</v>
      </c>
      <c r="D195" s="3" t="str" cm="1">
        <f t="array" ref="D195">IF(C195="","",IF(ISERROR(C195),"",INDEX(Tables!E:E,C195)))</f>
        <v>fllt</v>
      </c>
      <c r="E195" t="s">
        <v>218</v>
      </c>
      <c r="F195" s="1" t="str">
        <f t="shared" ref="F195:F226" si="42">IF(E195="","",_xlfn.CONCAT(D195,E195))</f>
        <v>flltSystemIdx</v>
      </c>
      <c r="G195" t="s">
        <v>243</v>
      </c>
      <c r="H195" s="17">
        <v>3</v>
      </c>
      <c r="J195" s="2" t="s">
        <v>46</v>
      </c>
      <c r="K195" s="2" t="s">
        <v>46</v>
      </c>
      <c r="L195" s="2" t="s">
        <v>46</v>
      </c>
      <c r="N195" s="2" t="s">
        <v>46</v>
      </c>
      <c r="P195" s="2" t="s">
        <v>46</v>
      </c>
      <c r="S195" t="s">
        <v>337</v>
      </c>
      <c r="V195" s="1" t="str">
        <f t="shared" si="23"/>
        <v/>
      </c>
      <c r="W195" s="53" t="str">
        <f t="shared" si="25"/>
        <v>typeint_size3_unsigned</v>
      </c>
      <c r="X195" s="53" t="str">
        <f t="shared" si="41"/>
        <v/>
      </c>
      <c r="Y195" s="53">
        <f t="shared" si="26"/>
        <v>0</v>
      </c>
      <c r="Z195" s="7">
        <f>IF($B195="",0,INDEX(Tables!$B:$B,MATCH($B195,Tables!$F:$F,0)))</f>
        <v>16</v>
      </c>
      <c r="AA195" s="7" t="str">
        <f>IF($T195="","",INDEX(Tables!$B:$B,MATCH($T195,Tables!$F:$F,0)))</f>
        <v/>
      </c>
      <c r="AB195" s="7">
        <f t="shared" ref="AB195:AB226" si="43">IF($AA195="",0,IF(ISERROR($AA195),1,IF($Z195&lt;=$AA195,1,0)))</f>
        <v>0</v>
      </c>
      <c r="AC195" s="7">
        <f t="shared" ref="AC195:AC226" si="44">IF(L195="",0,IF(AND(OR(G195="int",G195="varchar",G195="datetime"),H195&lt;&gt;""),0,1))</f>
        <v>0</v>
      </c>
      <c r="AD195" s="54">
        <f t="shared" ref="AD195:AD226" si="45">Y195+AB195+AC195</f>
        <v>0</v>
      </c>
      <c r="AE195" s="2" t="s">
        <v>107</v>
      </c>
      <c r="AF195" t="s">
        <v>414</v>
      </c>
    </row>
    <row r="196" spans="1:34" x14ac:dyDescent="0.25">
      <c r="A196" s="5">
        <f>IF(B196="","",MAX($A$1:$A195)+1)</f>
        <v>194</v>
      </c>
      <c r="B196" s="8" t="s">
        <v>334</v>
      </c>
      <c r="C196" s="7">
        <f>IF(B196="","",MATCH(B196,Tables!F:F,0))</f>
        <v>8</v>
      </c>
      <c r="D196" s="3" t="str" cm="1">
        <f t="array" ref="D196">IF(C196="","",IF(ISERROR(C196),"",INDEX(Tables!E:E,C196)))</f>
        <v>fllt</v>
      </c>
      <c r="E196" t="s">
        <v>335</v>
      </c>
      <c r="F196" s="1" t="str">
        <f t="shared" si="42"/>
        <v>flltGenerationDT</v>
      </c>
      <c r="G196" t="s">
        <v>248</v>
      </c>
      <c r="H196" s="17">
        <v>15</v>
      </c>
      <c r="L196" s="2" t="s">
        <v>46</v>
      </c>
      <c r="S196" t="s">
        <v>507</v>
      </c>
      <c r="V196" s="1" t="str">
        <f t="shared" si="23"/>
        <v/>
      </c>
      <c r="W196" s="53" t="str">
        <f t="shared" si="25"/>
        <v>typevarchar_size15</v>
      </c>
      <c r="X196" s="53" t="str">
        <f t="shared" si="41"/>
        <v/>
      </c>
      <c r="Y196" s="53">
        <f t="shared" si="26"/>
        <v>0</v>
      </c>
      <c r="Z196" s="7">
        <f>IF($B196="",0,INDEX(Tables!$B:$B,MATCH($B196,Tables!$F:$F,0)))</f>
        <v>16</v>
      </c>
      <c r="AA196" s="7" t="str">
        <f>IF($T196="","",INDEX(Tables!$B:$B,MATCH($T196,Tables!$F:$F,0)))</f>
        <v/>
      </c>
      <c r="AB196" s="7">
        <f t="shared" si="43"/>
        <v>0</v>
      </c>
      <c r="AC196" s="7">
        <f t="shared" si="44"/>
        <v>0</v>
      </c>
      <c r="AD196" s="54">
        <f t="shared" si="45"/>
        <v>0</v>
      </c>
      <c r="AE196" s="2" t="s">
        <v>109</v>
      </c>
      <c r="AF196" t="s">
        <v>481</v>
      </c>
      <c r="AH196" s="2" t="s">
        <v>560</v>
      </c>
    </row>
    <row r="197" spans="1:34" hidden="1" x14ac:dyDescent="0.25">
      <c r="A197" s="5">
        <f>IF(B197="","",MAX($A$1:$A196)+1)</f>
        <v>195</v>
      </c>
      <c r="B197" s="8" t="s">
        <v>334</v>
      </c>
      <c r="C197" s="7">
        <f>IF(B197="","",MATCH(B197,Tables!F:F,0))</f>
        <v>8</v>
      </c>
      <c r="D197" s="3" t="str" cm="1">
        <f t="array" ref="D197">IF(C197="","",IF(ISERROR(C197),"",INDEX(Tables!E:E,C197)))</f>
        <v>fllt</v>
      </c>
      <c r="E197" t="s">
        <v>336</v>
      </c>
      <c r="F197" s="1" t="str">
        <f t="shared" si="42"/>
        <v>flltObs</v>
      </c>
      <c r="G197" t="s">
        <v>77</v>
      </c>
      <c r="S197" t="s">
        <v>342</v>
      </c>
      <c r="V197" s="1" t="str">
        <f t="shared" ref="V197:V210" si="46">IF(OR(T197="",U197=""),"",_xlfn.CONCAT("FK_",F197,"_",U197))</f>
        <v/>
      </c>
      <c r="W197" s="53" t="str">
        <f t="shared" si="25"/>
        <v>typetext_size</v>
      </c>
      <c r="X197" s="53" t="str">
        <f t="shared" si="41"/>
        <v/>
      </c>
      <c r="Y197" s="53">
        <f t="shared" si="26"/>
        <v>0</v>
      </c>
      <c r="Z197" s="7">
        <f>IF($B197="",0,INDEX(Tables!$B:$B,MATCH($B197,Tables!$F:$F,0)))</f>
        <v>16</v>
      </c>
      <c r="AA197" s="7" t="str">
        <f>IF($T197="","",INDEX(Tables!$B:$B,MATCH($T197,Tables!$F:$F,0)))</f>
        <v/>
      </c>
      <c r="AB197" s="7">
        <f t="shared" si="43"/>
        <v>0</v>
      </c>
      <c r="AC197" s="7">
        <f t="shared" si="44"/>
        <v>0</v>
      </c>
      <c r="AD197" s="54">
        <f t="shared" si="45"/>
        <v>0</v>
      </c>
      <c r="AE197" s="2" t="s">
        <v>108</v>
      </c>
      <c r="AF197" t="s">
        <v>342</v>
      </c>
    </row>
    <row r="198" spans="1:34" hidden="1" x14ac:dyDescent="0.25">
      <c r="A198" s="5">
        <f>IF(B198="","",MAX($A$1:$A197)+1)</f>
        <v>196</v>
      </c>
      <c r="B198" s="8" t="s">
        <v>334</v>
      </c>
      <c r="C198" s="7">
        <f>IF(B198="","",MATCH(B198,Tables!F:F,0))</f>
        <v>8</v>
      </c>
      <c r="D198" s="3" t="str" cm="1">
        <f t="array" ref="D198">IF(C198="","",IF(ISERROR(C198),"",INDEX(Tables!E:E,C198)))</f>
        <v>fllt</v>
      </c>
      <c r="E198" t="s">
        <v>111</v>
      </c>
      <c r="F198" s="1" t="str">
        <f t="shared" si="42"/>
        <v>flltSystemCreationDt</v>
      </c>
      <c r="G198" t="s">
        <v>297</v>
      </c>
      <c r="R198" s="2" t="s">
        <v>117</v>
      </c>
      <c r="S198" t="s">
        <v>120</v>
      </c>
      <c r="V198" s="1" t="str">
        <f t="shared" si="46"/>
        <v/>
      </c>
      <c r="W198" s="53" t="str">
        <f t="shared" si="25"/>
        <v>typeDATETIME_size</v>
      </c>
      <c r="X198" s="53" t="str">
        <f t="shared" si="41"/>
        <v/>
      </c>
      <c r="Y198" s="53">
        <f t="shared" si="26"/>
        <v>0</v>
      </c>
      <c r="Z198" s="7">
        <f>IF($B198="",0,INDEX(Tables!$B:$B,MATCH($B198,Tables!$F:$F,0)))</f>
        <v>16</v>
      </c>
      <c r="AA198" s="7" t="str">
        <f>IF($T198="","",INDEX(Tables!$B:$B,MATCH($T198,Tables!$F:$F,0)))</f>
        <v/>
      </c>
      <c r="AB198" s="7">
        <f t="shared" si="43"/>
        <v>0</v>
      </c>
      <c r="AC198" s="7">
        <f t="shared" si="44"/>
        <v>0</v>
      </c>
      <c r="AD198" s="54">
        <f t="shared" si="45"/>
        <v>0</v>
      </c>
      <c r="AE198" s="2" t="s">
        <v>108</v>
      </c>
      <c r="AF198" t="s">
        <v>120</v>
      </c>
    </row>
    <row r="199" spans="1:34" hidden="1" x14ac:dyDescent="0.25">
      <c r="A199" s="5">
        <f>IF(B199="","",MAX($A$1:$A198)+1)</f>
        <v>197</v>
      </c>
      <c r="B199" s="8" t="s">
        <v>334</v>
      </c>
      <c r="C199" s="7">
        <f>IF(B199="","",MATCH(B199,Tables!F:F,0))</f>
        <v>8</v>
      </c>
      <c r="D199" s="3" t="str" cm="1">
        <f t="array" ref="D199">IF(C199="","",IF(ISERROR(C199),"",INDEX(Tables!E:E,C199)))</f>
        <v>fllt</v>
      </c>
      <c r="E199" t="s">
        <v>112</v>
      </c>
      <c r="F199" s="1" t="str">
        <f t="shared" si="42"/>
        <v>flltSystemCreationID</v>
      </c>
      <c r="G199" t="s">
        <v>243</v>
      </c>
      <c r="H199" s="17">
        <v>5</v>
      </c>
      <c r="K199" s="2" t="s">
        <v>46</v>
      </c>
      <c r="N199" s="2" t="s">
        <v>46</v>
      </c>
      <c r="S199" t="s">
        <v>121</v>
      </c>
      <c r="T199" s="8" t="s">
        <v>228</v>
      </c>
      <c r="U199" s="8" t="s">
        <v>232</v>
      </c>
      <c r="V199" s="1" t="str">
        <f t="shared" si="46"/>
        <v>FK_flltSystemCreationID_usrSystemIdx</v>
      </c>
      <c r="W199" s="53" t="str">
        <f t="shared" si="25"/>
        <v>typeint_size5_unsigned</v>
      </c>
      <c r="X199" s="53" t="str">
        <f t="shared" si="41"/>
        <v>typeint_size5_unsigned</v>
      </c>
      <c r="Y199" s="53">
        <f t="shared" si="26"/>
        <v>0</v>
      </c>
      <c r="Z199" s="7">
        <f>IF($B199="",0,INDEX(Tables!$B:$B,MATCH($B199,Tables!$F:$F,0)))</f>
        <v>16</v>
      </c>
      <c r="AA199" s="7">
        <f>IF($T199="","",INDEX(Tables!$B:$B,MATCH($T199,Tables!$F:$F,0)))</f>
        <v>0</v>
      </c>
      <c r="AB199" s="7">
        <f t="shared" si="43"/>
        <v>0</v>
      </c>
      <c r="AC199" s="7">
        <f t="shared" si="44"/>
        <v>0</v>
      </c>
      <c r="AD199" s="54">
        <f t="shared" si="45"/>
        <v>0</v>
      </c>
      <c r="AE199" s="2" t="s">
        <v>109</v>
      </c>
      <c r="AF199" t="s">
        <v>444</v>
      </c>
    </row>
    <row r="200" spans="1:34" hidden="1" x14ac:dyDescent="0.25">
      <c r="A200" s="5">
        <f>IF(B200="","",MAX($A$1:$A199)+1)</f>
        <v>198</v>
      </c>
      <c r="B200" s="8" t="s">
        <v>334</v>
      </c>
      <c r="C200" s="7">
        <f>IF(B200="","",MATCH(B200,Tables!F:F,0))</f>
        <v>8</v>
      </c>
      <c r="D200" s="3" t="str" cm="1">
        <f t="array" ref="D200">IF(C200="","",IF(ISERROR(C200),"",INDEX(Tables!E:E,C200)))</f>
        <v>fllt</v>
      </c>
      <c r="E200" t="s">
        <v>113</v>
      </c>
      <c r="F200" s="1" t="str">
        <f t="shared" si="42"/>
        <v>flltSystemLastUpdateDt</v>
      </c>
      <c r="G200" t="s">
        <v>297</v>
      </c>
      <c r="R200" s="2" t="s">
        <v>118</v>
      </c>
      <c r="S200" t="s">
        <v>122</v>
      </c>
      <c r="V200" s="1" t="str">
        <f t="shared" si="46"/>
        <v/>
      </c>
      <c r="W200" s="53" t="str">
        <f t="shared" si="25"/>
        <v>typeDATETIME_size</v>
      </c>
      <c r="X200" s="53" t="str">
        <f t="shared" si="41"/>
        <v/>
      </c>
      <c r="Y200" s="53">
        <f t="shared" si="26"/>
        <v>0</v>
      </c>
      <c r="Z200" s="7">
        <f>IF($B200="",0,INDEX(Tables!$B:$B,MATCH($B200,Tables!$F:$F,0)))</f>
        <v>16</v>
      </c>
      <c r="AA200" s="7" t="str">
        <f>IF($T200="","",INDEX(Tables!$B:$B,MATCH($T200,Tables!$F:$F,0)))</f>
        <v/>
      </c>
      <c r="AB200" s="7">
        <f t="shared" si="43"/>
        <v>0</v>
      </c>
      <c r="AC200" s="7">
        <f t="shared" si="44"/>
        <v>0</v>
      </c>
      <c r="AD200" s="54">
        <f t="shared" si="45"/>
        <v>0</v>
      </c>
      <c r="AE200" s="2" t="s">
        <v>107</v>
      </c>
      <c r="AF200" t="s">
        <v>445</v>
      </c>
    </row>
    <row r="201" spans="1:34" hidden="1" x14ac:dyDescent="0.25">
      <c r="A201" s="5">
        <f>IF(B201="","",MAX($A$1:$A200)+1)</f>
        <v>199</v>
      </c>
      <c r="B201" s="8" t="s">
        <v>334</v>
      </c>
      <c r="C201" s="7">
        <f>IF(B201="","",MATCH(B201,Tables!F:F,0))</f>
        <v>8</v>
      </c>
      <c r="D201" s="3" t="str" cm="1">
        <f t="array" ref="D201">IF(C201="","",IF(ISERROR(C201),"",INDEX(Tables!E:E,C201)))</f>
        <v>fllt</v>
      </c>
      <c r="E201" t="s">
        <v>114</v>
      </c>
      <c r="F201" s="1" t="str">
        <f t="shared" si="42"/>
        <v>flltSystemLastUpdateID</v>
      </c>
      <c r="G201" t="s">
        <v>243</v>
      </c>
      <c r="H201" s="17">
        <v>5</v>
      </c>
      <c r="N201" s="2" t="s">
        <v>46</v>
      </c>
      <c r="R201" s="2" t="s">
        <v>118</v>
      </c>
      <c r="S201" t="s">
        <v>123</v>
      </c>
      <c r="T201" s="8" t="s">
        <v>228</v>
      </c>
      <c r="U201" s="8" t="s">
        <v>232</v>
      </c>
      <c r="V201" s="1" t="str">
        <f t="shared" si="46"/>
        <v>FK_flltSystemLastUpdateID_usrSystemIdx</v>
      </c>
      <c r="W201" s="53" t="str">
        <f t="shared" si="25"/>
        <v>typeint_size5_unsigned</v>
      </c>
      <c r="X201" s="53" t="str">
        <f t="shared" si="41"/>
        <v>typeint_size5_unsigned</v>
      </c>
      <c r="Y201" s="53">
        <f t="shared" si="26"/>
        <v>0</v>
      </c>
      <c r="Z201" s="7">
        <f>IF($B201="",0,INDEX(Tables!$B:$B,MATCH($B201,Tables!$F:$F,0)))</f>
        <v>16</v>
      </c>
      <c r="AA201" s="7">
        <f>IF($T201="","",INDEX(Tables!$B:$B,MATCH($T201,Tables!$F:$F,0)))</f>
        <v>0</v>
      </c>
      <c r="AB201" s="7">
        <f t="shared" si="43"/>
        <v>0</v>
      </c>
      <c r="AC201" s="7">
        <f t="shared" si="44"/>
        <v>0</v>
      </c>
      <c r="AD201" s="54">
        <f t="shared" si="45"/>
        <v>0</v>
      </c>
      <c r="AE201" s="2" t="s">
        <v>109</v>
      </c>
      <c r="AF201" t="s">
        <v>443</v>
      </c>
    </row>
    <row r="202" spans="1:34" hidden="1" x14ac:dyDescent="0.25">
      <c r="A202" s="5">
        <f>IF(B202="","",MAX($A$1:$A201)+1)</f>
        <v>200</v>
      </c>
      <c r="B202" s="8" t="s">
        <v>338</v>
      </c>
      <c r="C202" s="7">
        <f>IF(B202="","",MATCH(B202,Tables!F:F,0))</f>
        <v>9</v>
      </c>
      <c r="D202" s="3" t="str" cm="1">
        <f t="array" ref="D202">IF(C202="","",IF(ISERROR(C202),"",INDEX(Tables!E:E,C202)))</f>
        <v>fllest</v>
      </c>
      <c r="E202" t="s">
        <v>218</v>
      </c>
      <c r="F202" s="1" t="str">
        <f t="shared" si="42"/>
        <v>fllestSystemIdx</v>
      </c>
      <c r="G202" t="s">
        <v>243</v>
      </c>
      <c r="H202" s="17">
        <v>3</v>
      </c>
      <c r="J202" s="2" t="s">
        <v>46</v>
      </c>
      <c r="K202" s="2" t="s">
        <v>46</v>
      </c>
      <c r="L202" s="2" t="s">
        <v>46</v>
      </c>
      <c r="N202" s="2" t="s">
        <v>46</v>
      </c>
      <c r="P202" s="2" t="s">
        <v>46</v>
      </c>
      <c r="S202" t="s">
        <v>339</v>
      </c>
      <c r="V202" s="1" t="str">
        <f t="shared" si="46"/>
        <v/>
      </c>
      <c r="W202" s="53" t="str">
        <f t="shared" si="25"/>
        <v>typeint_size3_unsigned</v>
      </c>
      <c r="X202" s="53" t="str">
        <f t="shared" si="41"/>
        <v/>
      </c>
      <c r="Y202" s="53">
        <f t="shared" si="26"/>
        <v>0</v>
      </c>
      <c r="Z202" s="7">
        <f>IF($B202="",0,INDEX(Tables!$B:$B,MATCH($B202,Tables!$F:$F,0)))</f>
        <v>17</v>
      </c>
      <c r="AA202" s="7" t="str">
        <f>IF($T202="","",INDEX(Tables!$B:$B,MATCH($T202,Tables!$F:$F,0)))</f>
        <v/>
      </c>
      <c r="AB202" s="7">
        <f t="shared" si="43"/>
        <v>0</v>
      </c>
      <c r="AC202" s="7">
        <f t="shared" si="44"/>
        <v>0</v>
      </c>
      <c r="AD202" s="54">
        <f t="shared" si="45"/>
        <v>0</v>
      </c>
      <c r="AE202" s="2" t="s">
        <v>107</v>
      </c>
      <c r="AF202" t="s">
        <v>414</v>
      </c>
    </row>
    <row r="203" spans="1:34" x14ac:dyDescent="0.25">
      <c r="A203" s="5">
        <f>IF(B203="","",MAX($A$1:$A202)+1)</f>
        <v>201</v>
      </c>
      <c r="B203" s="8" t="s">
        <v>338</v>
      </c>
      <c r="C203" s="7">
        <f>IF(B203="","",MATCH(B203,Tables!F:F,0))</f>
        <v>9</v>
      </c>
      <c r="D203" s="3" t="str" cm="1">
        <f t="array" ref="D203">IF(C203="","",IF(ISERROR(C203),"",INDEX(Tables!E:E,C203)))</f>
        <v>fllest</v>
      </c>
      <c r="E203" t="s">
        <v>340</v>
      </c>
      <c r="F203" s="1" t="str">
        <f t="shared" si="42"/>
        <v>fllestStudentID</v>
      </c>
      <c r="G203" t="s">
        <v>243</v>
      </c>
      <c r="H203" s="17">
        <v>7</v>
      </c>
      <c r="K203" s="2" t="s">
        <v>46</v>
      </c>
      <c r="N203" s="2" t="s">
        <v>46</v>
      </c>
      <c r="S203" t="s">
        <v>76</v>
      </c>
      <c r="T203" s="8" t="s">
        <v>221</v>
      </c>
      <c r="U203" s="8" t="s">
        <v>233</v>
      </c>
      <c r="V203" s="1" t="str">
        <f t="shared" si="46"/>
        <v>FK_fllestStudentID_estdtSystemIdx</v>
      </c>
      <c r="W203" s="53" t="str">
        <f t="shared" ref="W203:W226" si="47">_xlfn.CONCAT("type",G203,"_size",H203,IF(M203="","","_binary"),IF(N203="","","_unsigned"),IF(O203="","","_zeroFill"))</f>
        <v>typeint_size7_unsigned</v>
      </c>
      <c r="X203" s="53" t="str">
        <f t="shared" si="41"/>
        <v>typeint_size7_unsigned</v>
      </c>
      <c r="Y203" s="53">
        <f t="shared" ref="Y203:Y226" si="48">IF(X203="",0,IF(ISERROR(X203),1,IF(X203&lt;&gt;W203,1,0)))</f>
        <v>0</v>
      </c>
      <c r="Z203" s="7">
        <f>IF($B203="",0,INDEX(Tables!$B:$B,MATCH($B203,Tables!$F:$F,0)))</f>
        <v>17</v>
      </c>
      <c r="AA203" s="7">
        <f>IF($T203="","",INDEX(Tables!$B:$B,MATCH($T203,Tables!$F:$F,0)))</f>
        <v>3</v>
      </c>
      <c r="AB203" s="7">
        <f t="shared" si="43"/>
        <v>0</v>
      </c>
      <c r="AC203" s="7">
        <f t="shared" si="44"/>
        <v>0</v>
      </c>
      <c r="AD203" s="54">
        <f t="shared" si="45"/>
        <v>0</v>
      </c>
      <c r="AE203" s="2" t="s">
        <v>107</v>
      </c>
      <c r="AF203" t="s">
        <v>270</v>
      </c>
      <c r="AH203" s="2" t="s">
        <v>560</v>
      </c>
    </row>
    <row r="204" spans="1:34" hidden="1" x14ac:dyDescent="0.25">
      <c r="A204" s="5">
        <f>IF(B204="","",MAX($A$1:$A203)+1)</f>
        <v>202</v>
      </c>
      <c r="B204" s="8" t="s">
        <v>338</v>
      </c>
      <c r="C204" s="7">
        <f>IF(B204="","",MATCH(B204,Tables!F:F,0))</f>
        <v>9</v>
      </c>
      <c r="D204" s="3" t="str" cm="1">
        <f t="array" ref="D204">IF(C204="","",IF(ISERROR(C204),"",INDEX(Tables!E:E,C204)))</f>
        <v>fllest</v>
      </c>
      <c r="E204" t="s">
        <v>483</v>
      </c>
      <c r="F204" s="1" t="str">
        <f t="shared" ref="F204" si="49">IF(E204="","",_xlfn.CONCAT(D204,E204))</f>
        <v>fllestLot</v>
      </c>
      <c r="G204" t="s">
        <v>243</v>
      </c>
      <c r="H204" s="17">
        <v>3</v>
      </c>
      <c r="K204" s="2" t="s">
        <v>46</v>
      </c>
      <c r="N204" s="2" t="s">
        <v>46</v>
      </c>
      <c r="S204" t="s">
        <v>484</v>
      </c>
      <c r="T204" s="8" t="s">
        <v>334</v>
      </c>
      <c r="U204" s="8" t="s">
        <v>384</v>
      </c>
      <c r="V204" s="1" t="str">
        <f t="shared" si="46"/>
        <v>FK_fllestLot_flltSystemIdx</v>
      </c>
      <c r="W204" s="53" t="str">
        <f t="shared" ref="W204" si="50">_xlfn.CONCAT("type",G204,"_size",H204,IF(M204="","","_binary"),IF(N204="","","_unsigned"),IF(O204="","","_zeroFill"))</f>
        <v>typeint_size3_unsigned</v>
      </c>
      <c r="X204" s="53" t="str">
        <f t="shared" si="41"/>
        <v>typeint_size3_unsigned</v>
      </c>
      <c r="Y204" s="53">
        <f t="shared" ref="Y204" si="51">IF(X204="",0,IF(ISERROR(X204),1,IF(X204&lt;&gt;W204,1,0)))</f>
        <v>0</v>
      </c>
      <c r="Z204" s="7">
        <f>IF($B204="",0,INDEX(Tables!$B:$B,MATCH($B204,Tables!$F:$F,0)))</f>
        <v>17</v>
      </c>
      <c r="AA204" s="7">
        <f>IF($T204="","",INDEX(Tables!$B:$B,MATCH($T204,Tables!$F:$F,0)))</f>
        <v>16</v>
      </c>
      <c r="AB204" s="7">
        <f t="shared" si="43"/>
        <v>0</v>
      </c>
      <c r="AC204" s="7">
        <f t="shared" ref="AC204" si="52">IF(L204="",0,IF(AND(OR(G204="int",G204="varchar",G204="datetime"),H204&lt;&gt;""),0,1))</f>
        <v>0</v>
      </c>
      <c r="AD204" s="54">
        <f t="shared" ref="AD204" si="53">Y204+AB204+AC204</f>
        <v>0</v>
      </c>
      <c r="AE204" s="2" t="s">
        <v>108</v>
      </c>
      <c r="AF204" t="s">
        <v>337</v>
      </c>
    </row>
    <row r="205" spans="1:34" x14ac:dyDescent="0.25">
      <c r="A205" s="5">
        <f>IF(B205="","",MAX($A$1:$A204)+1)</f>
        <v>203</v>
      </c>
      <c r="B205" s="8" t="s">
        <v>338</v>
      </c>
      <c r="C205" s="7">
        <f>IF(B205="","",MATCH(B205,Tables!F:F,0))</f>
        <v>9</v>
      </c>
      <c r="D205" s="3" t="str" cm="1">
        <f t="array" ref="D205">IF(C205="","",IF(ISERROR(C205),"",INDEX(Tables!E:E,C205)))</f>
        <v>fllest</v>
      </c>
      <c r="E205" t="s">
        <v>346</v>
      </c>
      <c r="F205" s="1" t="str">
        <f t="shared" si="42"/>
        <v>fllestTrackerNumber</v>
      </c>
      <c r="G205" t="s">
        <v>248</v>
      </c>
      <c r="H205" s="17">
        <v>10</v>
      </c>
      <c r="L205" s="2" t="s">
        <v>46</v>
      </c>
      <c r="R205" s="2" t="s">
        <v>118</v>
      </c>
      <c r="S205" t="s">
        <v>347</v>
      </c>
      <c r="V205" s="1" t="str">
        <f t="shared" ref="V205" si="54">IF(OR(T205="",U205=""),"",_xlfn.CONCAT("FK_",F205,"_",U205))</f>
        <v/>
      </c>
      <c r="W205" s="53" t="str">
        <f t="shared" si="47"/>
        <v>typevarchar_size10</v>
      </c>
      <c r="X205" s="53" t="str">
        <f t="shared" si="41"/>
        <v/>
      </c>
      <c r="Y205" s="53">
        <f t="shared" si="48"/>
        <v>0</v>
      </c>
      <c r="Z205" s="7">
        <f>IF($B205="",0,INDEX(Tables!$B:$B,MATCH($B205,Tables!$F:$F,0)))</f>
        <v>17</v>
      </c>
      <c r="AA205" s="7" t="str">
        <f>IF($T205="","",INDEX(Tables!$B:$B,MATCH($T205,Tables!$F:$F,0)))</f>
        <v/>
      </c>
      <c r="AB205" s="7">
        <f t="shared" si="43"/>
        <v>0</v>
      </c>
      <c r="AC205" s="7">
        <f t="shared" si="44"/>
        <v>0</v>
      </c>
      <c r="AD205" s="54">
        <f t="shared" si="45"/>
        <v>0</v>
      </c>
      <c r="AE205" s="2" t="s">
        <v>108</v>
      </c>
      <c r="AF205" t="s">
        <v>482</v>
      </c>
      <c r="AH205" s="2" t="s">
        <v>559</v>
      </c>
    </row>
    <row r="206" spans="1:34" hidden="1" x14ac:dyDescent="0.25">
      <c r="A206" s="5">
        <f>IF(B206="","",MAX($A$1:$A205)+1)</f>
        <v>204</v>
      </c>
      <c r="B206" s="8" t="s">
        <v>338</v>
      </c>
      <c r="C206" s="7">
        <f>IF(B206="","",MATCH(B206,Tables!F:F,0))</f>
        <v>9</v>
      </c>
      <c r="D206" s="3" t="str" cm="1">
        <f t="array" ref="D206">IF(C206="","",IF(ISERROR(C206),"",INDEX(Tables!E:E,C206)))</f>
        <v>fllest</v>
      </c>
      <c r="E206" t="s">
        <v>336</v>
      </c>
      <c r="F206" s="1" t="str">
        <f t="shared" si="42"/>
        <v>fllestObs</v>
      </c>
      <c r="G206" t="s">
        <v>77</v>
      </c>
      <c r="S206" t="s">
        <v>342</v>
      </c>
      <c r="V206" s="1" t="str">
        <f t="shared" si="46"/>
        <v/>
      </c>
      <c r="W206" s="53" t="str">
        <f t="shared" si="47"/>
        <v>typetext_size</v>
      </c>
      <c r="X206" s="53" t="str">
        <f t="shared" si="41"/>
        <v/>
      </c>
      <c r="Y206" s="53">
        <f t="shared" si="48"/>
        <v>0</v>
      </c>
      <c r="Z206" s="7">
        <f>IF($B206="",0,INDEX(Tables!$B:$B,MATCH($B206,Tables!$F:$F,0)))</f>
        <v>17</v>
      </c>
      <c r="AA206" s="7" t="str">
        <f>IF($T206="","",INDEX(Tables!$B:$B,MATCH($T206,Tables!$F:$F,0)))</f>
        <v/>
      </c>
      <c r="AB206" s="7">
        <f t="shared" si="43"/>
        <v>0</v>
      </c>
      <c r="AC206" s="7">
        <f t="shared" si="44"/>
        <v>0</v>
      </c>
      <c r="AD206" s="54">
        <f t="shared" si="45"/>
        <v>0</v>
      </c>
      <c r="AE206" s="2" t="s">
        <v>108</v>
      </c>
      <c r="AF206" t="s">
        <v>342</v>
      </c>
    </row>
    <row r="207" spans="1:34" hidden="1" x14ac:dyDescent="0.25">
      <c r="A207" s="5">
        <f>IF(B207="","",MAX($A$1:$A206)+1)</f>
        <v>205</v>
      </c>
      <c r="B207" s="8" t="s">
        <v>338</v>
      </c>
      <c r="C207" s="7">
        <f>IF(B207="","",MATCH(B207,Tables!F:F,0))</f>
        <v>9</v>
      </c>
      <c r="D207" s="3" t="str" cm="1">
        <f t="array" ref="D207">IF(C207="","",IF(ISERROR(C207),"",INDEX(Tables!E:E,C207)))</f>
        <v>fllest</v>
      </c>
      <c r="E207" t="s">
        <v>111</v>
      </c>
      <c r="F207" s="1" t="str">
        <f t="shared" si="42"/>
        <v>fllestSystemCreationDt</v>
      </c>
      <c r="G207" t="s">
        <v>297</v>
      </c>
      <c r="R207" s="2" t="s">
        <v>117</v>
      </c>
      <c r="S207" t="s">
        <v>120</v>
      </c>
      <c r="V207" s="1" t="str">
        <f t="shared" si="46"/>
        <v/>
      </c>
      <c r="W207" s="53" t="str">
        <f t="shared" si="47"/>
        <v>typeDATETIME_size</v>
      </c>
      <c r="X207" s="53" t="str">
        <f t="shared" si="41"/>
        <v/>
      </c>
      <c r="Y207" s="53">
        <f t="shared" si="48"/>
        <v>0</v>
      </c>
      <c r="Z207" s="7">
        <f>IF($B207="",0,INDEX(Tables!$B:$B,MATCH($B207,Tables!$F:$F,0)))</f>
        <v>17</v>
      </c>
      <c r="AA207" s="7" t="str">
        <f>IF($T207="","",INDEX(Tables!$B:$B,MATCH($T207,Tables!$F:$F,0)))</f>
        <v/>
      </c>
      <c r="AB207" s="7">
        <f t="shared" si="43"/>
        <v>0</v>
      </c>
      <c r="AC207" s="7">
        <f t="shared" si="44"/>
        <v>0</v>
      </c>
      <c r="AD207" s="54">
        <f t="shared" si="45"/>
        <v>0</v>
      </c>
      <c r="AE207" s="2" t="s">
        <v>109</v>
      </c>
      <c r="AF207" t="s">
        <v>120</v>
      </c>
    </row>
    <row r="208" spans="1:34" hidden="1" x14ac:dyDescent="0.25">
      <c r="A208" s="5">
        <f>IF(B208="","",MAX($A$1:$A207)+1)</f>
        <v>206</v>
      </c>
      <c r="B208" s="8" t="s">
        <v>338</v>
      </c>
      <c r="C208" s="7">
        <f>IF(B208="","",MATCH(B208,Tables!F:F,0))</f>
        <v>9</v>
      </c>
      <c r="D208" s="3" t="str" cm="1">
        <f t="array" ref="D208">IF(C208="","",IF(ISERROR(C208),"",INDEX(Tables!E:E,C208)))</f>
        <v>fllest</v>
      </c>
      <c r="E208" t="s">
        <v>112</v>
      </c>
      <c r="F208" s="1" t="str">
        <f t="shared" si="42"/>
        <v>fllestSystemCreationID</v>
      </c>
      <c r="G208" t="s">
        <v>243</v>
      </c>
      <c r="H208" s="17">
        <v>5</v>
      </c>
      <c r="K208" s="2" t="s">
        <v>46</v>
      </c>
      <c r="N208" s="2" t="s">
        <v>46</v>
      </c>
      <c r="S208" t="s">
        <v>121</v>
      </c>
      <c r="T208" s="8" t="s">
        <v>228</v>
      </c>
      <c r="U208" s="8" t="s">
        <v>232</v>
      </c>
      <c r="V208" s="1" t="str">
        <f t="shared" si="46"/>
        <v>FK_fllestSystemCreationID_usrSystemIdx</v>
      </c>
      <c r="W208" s="53" t="str">
        <f t="shared" si="47"/>
        <v>typeint_size5_unsigned</v>
      </c>
      <c r="X208" s="53" t="str">
        <f t="shared" si="41"/>
        <v>typeint_size5_unsigned</v>
      </c>
      <c r="Y208" s="53">
        <f t="shared" si="48"/>
        <v>0</v>
      </c>
      <c r="Z208" s="7">
        <f>IF($B208="",0,INDEX(Tables!$B:$B,MATCH($B208,Tables!$F:$F,0)))</f>
        <v>17</v>
      </c>
      <c r="AA208" s="7">
        <f>IF($T208="","",INDEX(Tables!$B:$B,MATCH($T208,Tables!$F:$F,0)))</f>
        <v>0</v>
      </c>
      <c r="AB208" s="7">
        <f t="shared" si="43"/>
        <v>0</v>
      </c>
      <c r="AC208" s="7">
        <f t="shared" si="44"/>
        <v>0</v>
      </c>
      <c r="AD208" s="54">
        <f t="shared" si="45"/>
        <v>0</v>
      </c>
      <c r="AE208" s="2" t="s">
        <v>107</v>
      </c>
      <c r="AF208" t="s">
        <v>444</v>
      </c>
    </row>
    <row r="209" spans="1:34" hidden="1" x14ac:dyDescent="0.25">
      <c r="A209" s="5">
        <f>IF(B209="","",MAX($A$1:$A208)+1)</f>
        <v>207</v>
      </c>
      <c r="B209" s="8" t="s">
        <v>338</v>
      </c>
      <c r="C209" s="7">
        <f>IF(B209="","",MATCH(B209,Tables!F:F,0))</f>
        <v>9</v>
      </c>
      <c r="D209" s="3" t="str" cm="1">
        <f t="array" ref="D209">IF(C209="","",IF(ISERROR(C209),"",INDEX(Tables!E:E,C209)))</f>
        <v>fllest</v>
      </c>
      <c r="E209" t="s">
        <v>113</v>
      </c>
      <c r="F209" s="1" t="str">
        <f t="shared" si="42"/>
        <v>fllestSystemLastUpdateDt</v>
      </c>
      <c r="G209" t="s">
        <v>297</v>
      </c>
      <c r="R209" s="2" t="s">
        <v>118</v>
      </c>
      <c r="S209" t="s">
        <v>122</v>
      </c>
      <c r="V209" s="1" t="str">
        <f t="shared" si="46"/>
        <v/>
      </c>
      <c r="W209" s="53" t="str">
        <f t="shared" si="47"/>
        <v>typeDATETIME_size</v>
      </c>
      <c r="X209" s="53" t="str">
        <f t="shared" si="41"/>
        <v/>
      </c>
      <c r="Y209" s="53">
        <f t="shared" si="48"/>
        <v>0</v>
      </c>
      <c r="Z209" s="7">
        <f>IF($B209="",0,INDEX(Tables!$B:$B,MATCH($B209,Tables!$F:$F,0)))</f>
        <v>17</v>
      </c>
      <c r="AA209" s="7" t="str">
        <f>IF($T209="","",INDEX(Tables!$B:$B,MATCH($T209,Tables!$F:$F,0)))</f>
        <v/>
      </c>
      <c r="AB209" s="7">
        <f t="shared" si="43"/>
        <v>0</v>
      </c>
      <c r="AC209" s="7">
        <f t="shared" si="44"/>
        <v>0</v>
      </c>
      <c r="AD209" s="54">
        <f t="shared" si="45"/>
        <v>0</v>
      </c>
      <c r="AE209" s="2" t="s">
        <v>109</v>
      </c>
      <c r="AF209" t="s">
        <v>445</v>
      </c>
    </row>
    <row r="210" spans="1:34" hidden="1" x14ac:dyDescent="0.25">
      <c r="A210" s="5">
        <f>IF(B210="","",MAX($A$1:$A209)+1)</f>
        <v>208</v>
      </c>
      <c r="B210" s="8" t="s">
        <v>338</v>
      </c>
      <c r="C210" s="7">
        <f>IF(B210="","",MATCH(B210,Tables!F:F,0))</f>
        <v>9</v>
      </c>
      <c r="D210" s="3" t="str" cm="1">
        <f t="array" ref="D210">IF(C210="","",IF(ISERROR(C210),"",INDEX(Tables!E:E,C210)))</f>
        <v>fllest</v>
      </c>
      <c r="E210" t="s">
        <v>114</v>
      </c>
      <c r="F210" s="1" t="str">
        <f t="shared" si="42"/>
        <v>fllestSystemLastUpdateID</v>
      </c>
      <c r="G210" t="s">
        <v>243</v>
      </c>
      <c r="H210" s="17">
        <v>5</v>
      </c>
      <c r="N210" s="2" t="s">
        <v>46</v>
      </c>
      <c r="R210" s="2" t="s">
        <v>118</v>
      </c>
      <c r="S210" t="s">
        <v>123</v>
      </c>
      <c r="T210" s="8" t="s">
        <v>228</v>
      </c>
      <c r="U210" s="8" t="s">
        <v>232</v>
      </c>
      <c r="V210" s="1" t="str">
        <f t="shared" si="46"/>
        <v>FK_fllestSystemLastUpdateID_usrSystemIdx</v>
      </c>
      <c r="W210" s="53" t="str">
        <f t="shared" si="47"/>
        <v>typeint_size5_unsigned</v>
      </c>
      <c r="X210" s="53" t="str">
        <f t="shared" si="41"/>
        <v>typeint_size5_unsigned</v>
      </c>
      <c r="Y210" s="53">
        <f t="shared" si="48"/>
        <v>0</v>
      </c>
      <c r="Z210" s="7">
        <f>IF($B210="",0,INDEX(Tables!$B:$B,MATCH($B210,Tables!$F:$F,0)))</f>
        <v>17</v>
      </c>
      <c r="AA210" s="7">
        <f>IF($T210="","",INDEX(Tables!$B:$B,MATCH($T210,Tables!$F:$F,0)))</f>
        <v>0</v>
      </c>
      <c r="AB210" s="7">
        <f t="shared" si="43"/>
        <v>0</v>
      </c>
      <c r="AC210" s="7">
        <f t="shared" si="44"/>
        <v>0</v>
      </c>
      <c r="AD210" s="54">
        <f t="shared" si="45"/>
        <v>0</v>
      </c>
      <c r="AE210" s="2" t="s">
        <v>107</v>
      </c>
      <c r="AF210" t="s">
        <v>443</v>
      </c>
    </row>
    <row r="211" spans="1:34" hidden="1" x14ac:dyDescent="0.25">
      <c r="A211" s="5">
        <f>IF(B211="","",MAX($A$1:$A210)+1)</f>
        <v>209</v>
      </c>
      <c r="B211" s="8" t="s">
        <v>359</v>
      </c>
      <c r="C211" s="7">
        <f>IF(B211="","",MATCH(B211,Tables!F:F,0))</f>
        <v>11</v>
      </c>
      <c r="D211" s="3" t="str" cm="1">
        <f t="array" ref="D211">IF(C211="","",IF(ISERROR(C211),"",INDEX(Tables!E:E,C211)))</f>
        <v>cllest</v>
      </c>
      <c r="E211" t="s">
        <v>218</v>
      </c>
      <c r="F211" s="1" t="str">
        <f t="shared" si="42"/>
        <v>cllestSystemIdx</v>
      </c>
      <c r="G211" t="s">
        <v>243</v>
      </c>
      <c r="H211" s="17">
        <v>5</v>
      </c>
      <c r="J211" s="2" t="s">
        <v>46</v>
      </c>
      <c r="K211" s="2" t="s">
        <v>46</v>
      </c>
      <c r="L211" s="2" t="s">
        <v>46</v>
      </c>
      <c r="N211" s="2" t="s">
        <v>46</v>
      </c>
      <c r="P211" s="2" t="s">
        <v>46</v>
      </c>
      <c r="S211" t="s">
        <v>343</v>
      </c>
      <c r="W211" s="53" t="str">
        <f t="shared" si="47"/>
        <v>typeint_size5_unsigned</v>
      </c>
      <c r="X211" s="53" t="str">
        <f t="shared" si="41"/>
        <v/>
      </c>
      <c r="Y211" s="53">
        <f t="shared" si="48"/>
        <v>0</v>
      </c>
      <c r="Z211" s="7">
        <f>IF($B211="",0,INDEX(Tables!$B:$B,MATCH($B211,Tables!$F:$F,0)))</f>
        <v>18</v>
      </c>
      <c r="AA211" s="7" t="str">
        <f>IF($T211="","",INDEX(Tables!$B:$B,MATCH($T211,Tables!$F:$F,0)))</f>
        <v/>
      </c>
      <c r="AB211" s="7">
        <f t="shared" si="43"/>
        <v>0</v>
      </c>
      <c r="AC211" s="7">
        <f t="shared" si="44"/>
        <v>0</v>
      </c>
      <c r="AD211" s="54">
        <f t="shared" si="45"/>
        <v>0</v>
      </c>
      <c r="AE211" s="2" t="s">
        <v>107</v>
      </c>
      <c r="AF211" t="s">
        <v>414</v>
      </c>
    </row>
    <row r="212" spans="1:34" hidden="1" x14ac:dyDescent="0.25">
      <c r="A212" s="5">
        <f>IF(B212="","",MAX($A$1:$A211)+1)</f>
        <v>210</v>
      </c>
      <c r="B212" s="8" t="s">
        <v>359</v>
      </c>
      <c r="C212" s="7">
        <f>IF(B212="","",MATCH(B212,Tables!F:F,0))</f>
        <v>11</v>
      </c>
      <c r="D212" s="3" t="str" cm="1">
        <f t="array" ref="D212">IF(C212="","",IF(ISERROR(C212),"",INDEX(Tables!E:E,C212)))</f>
        <v>cllest</v>
      </c>
      <c r="E212" t="s">
        <v>311</v>
      </c>
      <c r="F212" s="1" t="str">
        <f t="shared" si="42"/>
        <v>cllestManagerCalling</v>
      </c>
      <c r="G212" t="s">
        <v>243</v>
      </c>
      <c r="H212" s="17">
        <v>5</v>
      </c>
      <c r="K212" s="2" t="s">
        <v>46</v>
      </c>
      <c r="N212" s="2" t="s">
        <v>46</v>
      </c>
      <c r="S212" t="s">
        <v>344</v>
      </c>
      <c r="T212" s="8" t="s">
        <v>357</v>
      </c>
      <c r="U212" s="8" t="s">
        <v>341</v>
      </c>
      <c r="V212" s="1" t="str">
        <f t="shared" ref="V212" si="55">IF(OR(T212="",U212=""),"",_xlfn.CONCAT("FK_",F212,"_",U212))</f>
        <v>FK_cllestManagerCalling_cllSystemIdx</v>
      </c>
      <c r="W212" s="53" t="str">
        <f t="shared" si="47"/>
        <v>typeint_size5_unsigned</v>
      </c>
      <c r="X212" s="53" t="str">
        <f t="shared" si="41"/>
        <v>typeint_size5_unsigned</v>
      </c>
      <c r="Y212" s="53">
        <f t="shared" si="48"/>
        <v>0</v>
      </c>
      <c r="Z212" s="7">
        <f>IF($B212="",0,INDEX(Tables!$B:$B,MATCH($B212,Tables!$F:$F,0)))</f>
        <v>18</v>
      </c>
      <c r="AA212" s="7">
        <f>IF($T212="","",INDEX(Tables!$B:$B,MATCH($T212,Tables!$F:$F,0)))</f>
        <v>9</v>
      </c>
      <c r="AB212" s="7">
        <f t="shared" si="43"/>
        <v>0</v>
      </c>
      <c r="AC212" s="7">
        <f t="shared" si="44"/>
        <v>0</v>
      </c>
      <c r="AD212" s="54">
        <f t="shared" si="45"/>
        <v>0</v>
      </c>
      <c r="AE212" s="2" t="s">
        <v>107</v>
      </c>
      <c r="AF212" t="s">
        <v>344</v>
      </c>
    </row>
    <row r="213" spans="1:34" x14ac:dyDescent="0.25">
      <c r="A213" s="5">
        <f>IF(B213="","",MAX($A$1:$A212)+1)</f>
        <v>211</v>
      </c>
      <c r="B213" s="8" t="s">
        <v>359</v>
      </c>
      <c r="C213" s="7">
        <f>IF(B213="","",MATCH(B213,Tables!F:F,0))</f>
        <v>11</v>
      </c>
      <c r="D213" s="3" t="str" cm="1">
        <f t="array" ref="D213">IF(C213="","",IF(ISERROR(C213),"",INDEX(Tables!E:E,C213)))</f>
        <v>cllest</v>
      </c>
      <c r="E213" t="s">
        <v>340</v>
      </c>
      <c r="F213" s="1" t="str">
        <f t="shared" si="42"/>
        <v>cllestStudentID</v>
      </c>
      <c r="G213" t="s">
        <v>243</v>
      </c>
      <c r="H213" s="17">
        <v>7</v>
      </c>
      <c r="K213" s="2" t="s">
        <v>46</v>
      </c>
      <c r="N213" s="2" t="s">
        <v>46</v>
      </c>
      <c r="S213" t="s">
        <v>76</v>
      </c>
      <c r="T213" s="8" t="s">
        <v>221</v>
      </c>
      <c r="U213" s="8" t="s">
        <v>233</v>
      </c>
      <c r="V213" s="1" t="str">
        <f t="shared" ref="V213:V217" si="56">IF(OR(T213="",U213=""),"",_xlfn.CONCAT("FK_",F213,"_",U213))</f>
        <v>FK_cllestStudentID_estdtSystemIdx</v>
      </c>
      <c r="W213" s="53" t="str">
        <f t="shared" si="47"/>
        <v>typeint_size7_unsigned</v>
      </c>
      <c r="X213" s="53" t="str">
        <f t="shared" si="41"/>
        <v>typeint_size7_unsigned</v>
      </c>
      <c r="Y213" s="53">
        <f t="shared" si="48"/>
        <v>0</v>
      </c>
      <c r="Z213" s="7">
        <f>IF($B213="",0,INDEX(Tables!$B:$B,MATCH($B213,Tables!$F:$F,0)))</f>
        <v>18</v>
      </c>
      <c r="AA213" s="7">
        <f>IF($T213="","",INDEX(Tables!$B:$B,MATCH($T213,Tables!$F:$F,0)))</f>
        <v>3</v>
      </c>
      <c r="AB213" s="7">
        <f t="shared" si="43"/>
        <v>0</v>
      </c>
      <c r="AC213" s="7">
        <f t="shared" si="44"/>
        <v>0</v>
      </c>
      <c r="AD213" s="54">
        <f t="shared" si="45"/>
        <v>0</v>
      </c>
      <c r="AE213" s="2" t="s">
        <v>107</v>
      </c>
      <c r="AF213" t="s">
        <v>270</v>
      </c>
      <c r="AH213" s="2" t="s">
        <v>560</v>
      </c>
    </row>
    <row r="214" spans="1:34" hidden="1" x14ac:dyDescent="0.25">
      <c r="A214" s="5">
        <f>IF(B214="","",MAX($A$1:$A213)+1)</f>
        <v>212</v>
      </c>
      <c r="B214" s="8" t="s">
        <v>359</v>
      </c>
      <c r="C214" s="7">
        <f>IF(B214="","",MATCH(B214,Tables!F:F,0))</f>
        <v>11</v>
      </c>
      <c r="D214" s="3" t="str" cm="1">
        <f t="array" ref="D214">IF(C214="","",IF(ISERROR(C214),"",INDEX(Tables!E:E,C214)))</f>
        <v>cllest</v>
      </c>
      <c r="E214" t="s">
        <v>111</v>
      </c>
      <c r="F214" s="1" t="str">
        <f t="shared" si="42"/>
        <v>cllestSystemCreationDt</v>
      </c>
      <c r="G214" t="s">
        <v>297</v>
      </c>
      <c r="R214" s="2" t="s">
        <v>117</v>
      </c>
      <c r="S214" t="s">
        <v>120</v>
      </c>
      <c r="V214" s="1" t="str">
        <f t="shared" si="56"/>
        <v/>
      </c>
      <c r="W214" s="53" t="str">
        <f t="shared" si="47"/>
        <v>typeDATETIME_size</v>
      </c>
      <c r="X214" s="53" t="str">
        <f t="shared" si="41"/>
        <v/>
      </c>
      <c r="Y214" s="53">
        <f t="shared" si="48"/>
        <v>0</v>
      </c>
      <c r="Z214" s="7">
        <f>IF($B214="",0,INDEX(Tables!$B:$B,MATCH($B214,Tables!$F:$F,0)))</f>
        <v>18</v>
      </c>
      <c r="AA214" s="7" t="str">
        <f>IF($T214="","",INDEX(Tables!$B:$B,MATCH($T214,Tables!$F:$F,0)))</f>
        <v/>
      </c>
      <c r="AB214" s="7">
        <f t="shared" si="43"/>
        <v>0</v>
      </c>
      <c r="AC214" s="7">
        <f t="shared" si="44"/>
        <v>0</v>
      </c>
      <c r="AD214" s="54">
        <f t="shared" si="45"/>
        <v>0</v>
      </c>
      <c r="AE214" s="2" t="s">
        <v>109</v>
      </c>
      <c r="AF214" t="s">
        <v>120</v>
      </c>
    </row>
    <row r="215" spans="1:34" hidden="1" x14ac:dyDescent="0.25">
      <c r="A215" s="5">
        <f>IF(B215="","",MAX($A$1:$A214)+1)</f>
        <v>213</v>
      </c>
      <c r="B215" s="8" t="s">
        <v>359</v>
      </c>
      <c r="C215" s="7">
        <f>IF(B215="","",MATCH(B215,Tables!F:F,0))</f>
        <v>11</v>
      </c>
      <c r="D215" s="3" t="str" cm="1">
        <f t="array" ref="D215">IF(C215="","",IF(ISERROR(C215),"",INDEX(Tables!E:E,C215)))</f>
        <v>cllest</v>
      </c>
      <c r="E215" t="s">
        <v>112</v>
      </c>
      <c r="F215" s="1" t="str">
        <f t="shared" si="42"/>
        <v>cllestSystemCreationID</v>
      </c>
      <c r="G215" t="s">
        <v>243</v>
      </c>
      <c r="H215" s="17">
        <v>5</v>
      </c>
      <c r="K215" s="2" t="s">
        <v>46</v>
      </c>
      <c r="N215" s="2" t="s">
        <v>46</v>
      </c>
      <c r="S215" t="s">
        <v>121</v>
      </c>
      <c r="T215" s="8" t="s">
        <v>228</v>
      </c>
      <c r="U215" s="8" t="s">
        <v>232</v>
      </c>
      <c r="V215" s="1" t="str">
        <f t="shared" si="56"/>
        <v>FK_cllestSystemCreationID_usrSystemIdx</v>
      </c>
      <c r="W215" s="53" t="str">
        <f t="shared" si="47"/>
        <v>typeint_size5_unsigned</v>
      </c>
      <c r="X215" s="53" t="str">
        <f t="shared" si="41"/>
        <v>typeint_size5_unsigned</v>
      </c>
      <c r="Y215" s="53">
        <f t="shared" si="48"/>
        <v>0</v>
      </c>
      <c r="Z215" s="7">
        <f>IF($B215="",0,INDEX(Tables!$B:$B,MATCH($B215,Tables!$F:$F,0)))</f>
        <v>18</v>
      </c>
      <c r="AA215" s="7">
        <f>IF($T215="","",INDEX(Tables!$B:$B,MATCH($T215,Tables!$F:$F,0)))</f>
        <v>0</v>
      </c>
      <c r="AB215" s="7">
        <f t="shared" si="43"/>
        <v>0</v>
      </c>
      <c r="AC215" s="7">
        <f t="shared" si="44"/>
        <v>0</v>
      </c>
      <c r="AD215" s="54">
        <f t="shared" si="45"/>
        <v>0</v>
      </c>
      <c r="AE215" s="2" t="s">
        <v>107</v>
      </c>
      <c r="AF215" t="s">
        <v>444</v>
      </c>
    </row>
    <row r="216" spans="1:34" hidden="1" x14ac:dyDescent="0.25">
      <c r="A216" s="5">
        <f>IF(B216="","",MAX($A$1:$A215)+1)</f>
        <v>214</v>
      </c>
      <c r="B216" s="8" t="s">
        <v>359</v>
      </c>
      <c r="C216" s="7">
        <f>IF(B216="","",MATCH(B216,Tables!F:F,0))</f>
        <v>11</v>
      </c>
      <c r="D216" s="3" t="str" cm="1">
        <f t="array" ref="D216">IF(C216="","",IF(ISERROR(C216),"",INDEX(Tables!E:E,C216)))</f>
        <v>cllest</v>
      </c>
      <c r="E216" t="s">
        <v>113</v>
      </c>
      <c r="F216" s="1" t="str">
        <f t="shared" si="42"/>
        <v>cllestSystemLastUpdateDt</v>
      </c>
      <c r="G216" t="s">
        <v>297</v>
      </c>
      <c r="R216" s="2" t="s">
        <v>118</v>
      </c>
      <c r="S216" t="s">
        <v>122</v>
      </c>
      <c r="V216" s="1" t="str">
        <f t="shared" si="56"/>
        <v/>
      </c>
      <c r="W216" s="53" t="str">
        <f t="shared" si="47"/>
        <v>typeDATETIME_size</v>
      </c>
      <c r="X216" s="53" t="str">
        <f t="shared" si="41"/>
        <v/>
      </c>
      <c r="Y216" s="53">
        <f t="shared" si="48"/>
        <v>0</v>
      </c>
      <c r="Z216" s="7">
        <f>IF($B216="",0,INDEX(Tables!$B:$B,MATCH($B216,Tables!$F:$F,0)))</f>
        <v>18</v>
      </c>
      <c r="AA216" s="7" t="str">
        <f>IF($T216="","",INDEX(Tables!$B:$B,MATCH($T216,Tables!$F:$F,0)))</f>
        <v/>
      </c>
      <c r="AB216" s="7">
        <f t="shared" si="43"/>
        <v>0</v>
      </c>
      <c r="AC216" s="7">
        <f t="shared" si="44"/>
        <v>0</v>
      </c>
      <c r="AD216" s="54">
        <f t="shared" si="45"/>
        <v>0</v>
      </c>
      <c r="AE216" s="2" t="s">
        <v>109</v>
      </c>
      <c r="AF216" t="s">
        <v>445</v>
      </c>
    </row>
    <row r="217" spans="1:34" hidden="1" x14ac:dyDescent="0.25">
      <c r="A217" s="5">
        <f>IF(B217="","",MAX($A$1:$A216)+1)</f>
        <v>215</v>
      </c>
      <c r="B217" s="8" t="s">
        <v>359</v>
      </c>
      <c r="C217" s="7">
        <f>IF(B217="","",MATCH(B217,Tables!F:F,0))</f>
        <v>11</v>
      </c>
      <c r="D217" s="3" t="str" cm="1">
        <f t="array" ref="D217">IF(C217="","",IF(ISERROR(C217),"",INDEX(Tables!E:E,C217)))</f>
        <v>cllest</v>
      </c>
      <c r="E217" t="s">
        <v>114</v>
      </c>
      <c r="F217" s="1" t="str">
        <f t="shared" si="42"/>
        <v>cllestSystemLastUpdateID</v>
      </c>
      <c r="G217" t="s">
        <v>243</v>
      </c>
      <c r="H217" s="17">
        <v>5</v>
      </c>
      <c r="N217" s="2" t="s">
        <v>46</v>
      </c>
      <c r="R217" s="2" t="s">
        <v>118</v>
      </c>
      <c r="S217" t="s">
        <v>123</v>
      </c>
      <c r="T217" s="8" t="s">
        <v>228</v>
      </c>
      <c r="U217" s="8" t="s">
        <v>232</v>
      </c>
      <c r="V217" s="1" t="str">
        <f t="shared" si="56"/>
        <v>FK_cllestSystemLastUpdateID_usrSystemIdx</v>
      </c>
      <c r="W217" s="53" t="str">
        <f t="shared" si="47"/>
        <v>typeint_size5_unsigned</v>
      </c>
      <c r="X217" s="53" t="str">
        <f t="shared" si="41"/>
        <v>typeint_size5_unsigned</v>
      </c>
      <c r="Y217" s="53">
        <f t="shared" si="48"/>
        <v>0</v>
      </c>
      <c r="Z217" s="7">
        <f>IF($B217="",0,INDEX(Tables!$B:$B,MATCH($B217,Tables!$F:$F,0)))</f>
        <v>18</v>
      </c>
      <c r="AA217" s="7">
        <f>IF($T217="","",INDEX(Tables!$B:$B,MATCH($T217,Tables!$F:$F,0)))</f>
        <v>0</v>
      </c>
      <c r="AB217" s="7">
        <f t="shared" si="43"/>
        <v>0</v>
      </c>
      <c r="AC217" s="7">
        <f t="shared" si="44"/>
        <v>0</v>
      </c>
      <c r="AD217" s="54">
        <f t="shared" si="45"/>
        <v>0</v>
      </c>
      <c r="AE217" s="2" t="s">
        <v>107</v>
      </c>
      <c r="AF217" t="s">
        <v>443</v>
      </c>
    </row>
    <row r="218" spans="1:34" hidden="1" x14ac:dyDescent="0.25">
      <c r="A218" s="5">
        <f>IF(B218="","",MAX($A$1:$A217)+1)</f>
        <v>216</v>
      </c>
      <c r="B218" s="8" t="s">
        <v>361</v>
      </c>
      <c r="C218" s="7">
        <f>IF(B218="","",MATCH(B218,Tables!F:F,0))</f>
        <v>12</v>
      </c>
      <c r="D218" s="3" t="str" cm="1">
        <f t="array" ref="D218">IF(C218="","",IF(ISERROR(C218),"",INDEX(Tables!E:E,C218)))</f>
        <v>cllmsg</v>
      </c>
      <c r="E218" t="s">
        <v>218</v>
      </c>
      <c r="F218" s="1" t="str">
        <f t="shared" si="42"/>
        <v>cllmsgSystemIdx</v>
      </c>
      <c r="G218" t="s">
        <v>243</v>
      </c>
      <c r="H218" s="17">
        <v>7</v>
      </c>
      <c r="J218" s="2" t="s">
        <v>46</v>
      </c>
      <c r="K218" s="2" t="s">
        <v>46</v>
      </c>
      <c r="L218" s="2" t="s">
        <v>46</v>
      </c>
      <c r="N218" s="2" t="s">
        <v>46</v>
      </c>
      <c r="P218" s="2" t="s">
        <v>46</v>
      </c>
      <c r="S218" t="s">
        <v>511</v>
      </c>
      <c r="W218" s="53" t="str">
        <f t="shared" si="47"/>
        <v>typeint_size7_unsigned</v>
      </c>
      <c r="X218" s="53" t="str">
        <f t="shared" si="41"/>
        <v/>
      </c>
      <c r="Y218" s="53">
        <f t="shared" si="48"/>
        <v>0</v>
      </c>
      <c r="Z218" s="7">
        <f>IF($B218="",0,INDEX(Tables!$B:$B,MATCH($B218,Tables!$F:$F,0)))</f>
        <v>19</v>
      </c>
      <c r="AA218" s="7" t="str">
        <f>IF($T218="","",INDEX(Tables!$B:$B,MATCH($T218,Tables!$F:$F,0)))</f>
        <v/>
      </c>
      <c r="AB218" s="7">
        <f t="shared" si="43"/>
        <v>0</v>
      </c>
      <c r="AC218" s="7">
        <f t="shared" si="44"/>
        <v>0</v>
      </c>
      <c r="AD218" s="54">
        <f t="shared" si="45"/>
        <v>0</v>
      </c>
      <c r="AE218" s="2" t="s">
        <v>107</v>
      </c>
      <c r="AF218" t="s">
        <v>414</v>
      </c>
    </row>
    <row r="219" spans="1:34" x14ac:dyDescent="0.25">
      <c r="A219" s="5">
        <f>IF(B219="","",MAX($A$1:$A218)+1)</f>
        <v>217</v>
      </c>
      <c r="B219" s="8" t="s">
        <v>361</v>
      </c>
      <c r="C219" s="7">
        <f>IF(B219="","",MATCH(B219,Tables!F:F,0))</f>
        <v>12</v>
      </c>
      <c r="D219" s="3" t="str" cm="1">
        <f t="array" ref="D219">IF(C219="","",IF(ISERROR(C219),"",INDEX(Tables!E:E,C219)))</f>
        <v>cllmsg</v>
      </c>
      <c r="E219" t="s">
        <v>311</v>
      </c>
      <c r="F219" s="1" t="str">
        <f t="shared" si="42"/>
        <v>cllmsgManagerCalling</v>
      </c>
      <c r="G219" t="s">
        <v>243</v>
      </c>
      <c r="H219" s="17">
        <v>5</v>
      </c>
      <c r="K219" s="2" t="s">
        <v>46</v>
      </c>
      <c r="N219" s="2" t="s">
        <v>46</v>
      </c>
      <c r="S219" t="s">
        <v>344</v>
      </c>
      <c r="T219" s="8" t="s">
        <v>357</v>
      </c>
      <c r="U219" s="8" t="s">
        <v>341</v>
      </c>
      <c r="V219" s="1" t="str">
        <f t="shared" ref="V219" si="57">IF(OR(T219="",U219=""),"",_xlfn.CONCAT("FK_",F219,"_",U219))</f>
        <v>FK_cllmsgManagerCalling_cllSystemIdx</v>
      </c>
      <c r="W219" s="53" t="str">
        <f t="shared" si="47"/>
        <v>typeint_size5_unsigned</v>
      </c>
      <c r="X219" s="53" t="str">
        <f t="shared" si="41"/>
        <v>typeint_size5_unsigned</v>
      </c>
      <c r="Y219" s="53">
        <f t="shared" si="48"/>
        <v>0</v>
      </c>
      <c r="Z219" s="7">
        <f>IF($B219="",0,INDEX(Tables!$B:$B,MATCH($B219,Tables!$F:$F,0)))</f>
        <v>19</v>
      </c>
      <c r="AA219" s="7">
        <f>IF($T219="","",INDEX(Tables!$B:$B,MATCH($T219,Tables!$F:$F,0)))</f>
        <v>9</v>
      </c>
      <c r="AB219" s="7">
        <f t="shared" si="43"/>
        <v>0</v>
      </c>
      <c r="AC219" s="7">
        <f t="shared" si="44"/>
        <v>0</v>
      </c>
      <c r="AD219" s="54">
        <f t="shared" si="45"/>
        <v>0</v>
      </c>
      <c r="AE219" s="2" t="s">
        <v>107</v>
      </c>
      <c r="AF219" t="s">
        <v>344</v>
      </c>
      <c r="AH219" s="2" t="s">
        <v>560</v>
      </c>
    </row>
    <row r="220" spans="1:34" hidden="1" x14ac:dyDescent="0.25">
      <c r="A220" s="5">
        <f>IF(B220="","",MAX($A$1:$A219)+1)</f>
        <v>218</v>
      </c>
      <c r="B220" s="8" t="s">
        <v>361</v>
      </c>
      <c r="C220" s="7">
        <f>IF(B220="","",MATCH(B220,Tables!F:F,0))</f>
        <v>12</v>
      </c>
      <c r="D220" s="3" t="str" cm="1">
        <f t="array" ref="D220">IF(C220="","",IF(ISERROR(C220),"",INDEX(Tables!E:E,C220)))</f>
        <v>cllmsg</v>
      </c>
      <c r="E220" t="s">
        <v>167</v>
      </c>
      <c r="F220" s="1" t="str">
        <f t="shared" si="42"/>
        <v>cllmsgMessage</v>
      </c>
      <c r="G220" t="s">
        <v>77</v>
      </c>
      <c r="S220" t="s">
        <v>345</v>
      </c>
      <c r="W220" s="53" t="str">
        <f t="shared" si="47"/>
        <v>typetext_size</v>
      </c>
      <c r="X220" s="53" t="str">
        <f t="shared" si="41"/>
        <v/>
      </c>
      <c r="Y220" s="53">
        <f t="shared" si="48"/>
        <v>0</v>
      </c>
      <c r="Z220" s="7">
        <f>IF($B220="",0,INDEX(Tables!$B:$B,MATCH($B220,Tables!$F:$F,0)))</f>
        <v>19</v>
      </c>
      <c r="AA220" s="7" t="str">
        <f>IF($T220="","",INDEX(Tables!$B:$B,MATCH($T220,Tables!$F:$F,0)))</f>
        <v/>
      </c>
      <c r="AB220" s="7">
        <f t="shared" si="43"/>
        <v>0</v>
      </c>
      <c r="AC220" s="7">
        <f t="shared" si="44"/>
        <v>0</v>
      </c>
      <c r="AD220" s="54">
        <f t="shared" si="45"/>
        <v>0</v>
      </c>
      <c r="AE220" s="2" t="s">
        <v>108</v>
      </c>
      <c r="AF220" t="s">
        <v>345</v>
      </c>
    </row>
    <row r="221" spans="1:34" hidden="1" x14ac:dyDescent="0.25">
      <c r="A221" s="5">
        <f>IF(B221="","",MAX($A$1:$A219)+1)</f>
        <v>218</v>
      </c>
      <c r="B221" s="8" t="s">
        <v>361</v>
      </c>
      <c r="C221" s="7">
        <f>IF(B221="","",MATCH(B221,Tables!F:F,0))</f>
        <v>12</v>
      </c>
      <c r="D221" s="3" t="str" cm="1">
        <f t="array" ref="D221">IF(C221="","",IF(ISERROR(C221),"",INDEX(Tables!E:E,C221)))</f>
        <v>cllmsg</v>
      </c>
      <c r="E221" t="s">
        <v>162</v>
      </c>
      <c r="F221" s="1" t="str">
        <f t="shared" ref="F221" si="58">IF(E221="","",_xlfn.CONCAT(D221,E221))</f>
        <v>cllmsgToUser</v>
      </c>
      <c r="G221" t="s">
        <v>243</v>
      </c>
      <c r="H221" s="17">
        <v>5</v>
      </c>
      <c r="N221" s="2" t="s">
        <v>46</v>
      </c>
      <c r="R221" s="2" t="s">
        <v>118</v>
      </c>
      <c r="S221" t="s">
        <v>123</v>
      </c>
      <c r="T221" s="8" t="s">
        <v>228</v>
      </c>
      <c r="U221" s="8" t="s">
        <v>232</v>
      </c>
      <c r="V221" s="1" t="str">
        <f t="shared" ref="V221" si="59">IF(OR(T221="",U221=""),"",_xlfn.CONCAT("FK_",F221,"_",U221))</f>
        <v>FK_cllmsgToUser_usrSystemIdx</v>
      </c>
      <c r="W221" s="53" t="str">
        <f t="shared" ref="W221" si="60">_xlfn.CONCAT("type",G221,"_size",H221,IF(M221="","","_binary"),IF(N221="","","_unsigned"),IF(O221="","","_zeroFill"))</f>
        <v>typeint_size5_unsigned</v>
      </c>
      <c r="X221" s="53" t="str">
        <f t="shared" si="41"/>
        <v>typeint_size5_unsigned</v>
      </c>
      <c r="Y221" s="53">
        <f t="shared" ref="Y221" si="61">IF(X221="",0,IF(ISERROR(X221),1,IF(X221&lt;&gt;W221,1,0)))</f>
        <v>0</v>
      </c>
      <c r="Z221" s="7">
        <f>IF($B221="",0,INDEX(Tables!$B:$B,MATCH($B221,Tables!$F:$F,0)))</f>
        <v>19</v>
      </c>
      <c r="AA221" s="7">
        <f>IF($T221="","",INDEX(Tables!$B:$B,MATCH($T221,Tables!$F:$F,0)))</f>
        <v>0</v>
      </c>
      <c r="AB221" s="7">
        <f t="shared" si="43"/>
        <v>0</v>
      </c>
      <c r="AC221" s="7">
        <f t="shared" ref="AC221" si="62">IF(L221="",0,IF(AND(OR(G221="int",G221="varchar",G221="datetime"),H221&lt;&gt;""),0,1))</f>
        <v>0</v>
      </c>
      <c r="AD221" s="54">
        <f t="shared" ref="AD221" si="63">Y221+AB221+AC221</f>
        <v>0</v>
      </c>
      <c r="AE221" s="2" t="s">
        <v>107</v>
      </c>
      <c r="AF221" t="s">
        <v>461</v>
      </c>
    </row>
    <row r="222" spans="1:34" x14ac:dyDescent="0.25">
      <c r="A222" s="5">
        <f>IF(B222="","",MAX($A$1:$A220)+1)</f>
        <v>219</v>
      </c>
      <c r="B222" s="8" t="s">
        <v>361</v>
      </c>
      <c r="C222" s="7">
        <f>IF(B222="","",MATCH(B222,Tables!F:F,0))</f>
        <v>12</v>
      </c>
      <c r="D222" s="3" t="str" cm="1">
        <f t="array" ref="D222">IF(C222="","",IF(ISERROR(C222),"",INDEX(Tables!E:E,C222)))</f>
        <v>cllmsg</v>
      </c>
      <c r="E222" t="s">
        <v>134</v>
      </c>
      <c r="F222" s="1" t="str">
        <f t="shared" si="42"/>
        <v>cllmsgStatus</v>
      </c>
      <c r="G222" t="s">
        <v>243</v>
      </c>
      <c r="H222" s="17">
        <v>2</v>
      </c>
      <c r="N222" s="2" t="s">
        <v>46</v>
      </c>
      <c r="R222" s="2">
        <v>0</v>
      </c>
      <c r="S222" t="s">
        <v>510</v>
      </c>
      <c r="V222" s="1" t="str">
        <f t="shared" ref="V222:V226" si="64">IF(OR(T222="",U222=""),"",_xlfn.CONCAT("FK_",F222,"_",U222))</f>
        <v/>
      </c>
      <c r="W222" s="53" t="str">
        <f t="shared" si="47"/>
        <v>typeint_size2_unsigned</v>
      </c>
      <c r="X222" s="53" t="str">
        <f t="shared" si="41"/>
        <v/>
      </c>
      <c r="Y222" s="53">
        <f t="shared" si="48"/>
        <v>0</v>
      </c>
      <c r="Z222" s="7">
        <f>IF($B222="",0,INDEX(Tables!$B:$B,MATCH($B222,Tables!$F:$F,0)))</f>
        <v>19</v>
      </c>
      <c r="AA222" s="7" t="str">
        <f>IF($T222="","",INDEX(Tables!$B:$B,MATCH($T222,Tables!$F:$F,0)))</f>
        <v/>
      </c>
      <c r="AB222" s="7">
        <f t="shared" si="43"/>
        <v>0</v>
      </c>
      <c r="AC222" s="7">
        <f t="shared" si="44"/>
        <v>0</v>
      </c>
      <c r="AD222" s="54">
        <f t="shared" si="45"/>
        <v>0</v>
      </c>
      <c r="AE222" s="2" t="s">
        <v>107</v>
      </c>
      <c r="AF222" t="s">
        <v>461</v>
      </c>
      <c r="AG222" s="8" t="s">
        <v>512</v>
      </c>
      <c r="AH222" s="2" t="s">
        <v>560</v>
      </c>
    </row>
    <row r="223" spans="1:34" hidden="1" x14ac:dyDescent="0.25">
      <c r="A223" s="5">
        <f>IF(B223="","",MAX($A$1:$A222)+1)</f>
        <v>220</v>
      </c>
      <c r="B223" s="8" t="s">
        <v>361</v>
      </c>
      <c r="C223" s="7">
        <f>IF(B223="","",MATCH(B223,Tables!F:F,0))</f>
        <v>12</v>
      </c>
      <c r="D223" s="3" t="str" cm="1">
        <f t="array" ref="D223">IF(C223="","",IF(ISERROR(C223),"",INDEX(Tables!E:E,C223)))</f>
        <v>cllmsg</v>
      </c>
      <c r="E223" t="s">
        <v>111</v>
      </c>
      <c r="F223" s="1" t="str">
        <f t="shared" si="42"/>
        <v>cllmsgSystemCreationDt</v>
      </c>
      <c r="G223" t="s">
        <v>297</v>
      </c>
      <c r="R223" s="2" t="s">
        <v>117</v>
      </c>
      <c r="S223" t="s">
        <v>120</v>
      </c>
      <c r="V223" s="1" t="str">
        <f t="shared" si="64"/>
        <v/>
      </c>
      <c r="W223" s="53" t="str">
        <f t="shared" si="47"/>
        <v>typeDATETIME_size</v>
      </c>
      <c r="X223" s="53" t="str">
        <f t="shared" si="41"/>
        <v/>
      </c>
      <c r="Y223" s="53">
        <f t="shared" si="48"/>
        <v>0</v>
      </c>
      <c r="Z223" s="7">
        <f>IF($B223="",0,INDEX(Tables!$B:$B,MATCH($B223,Tables!$F:$F,0)))</f>
        <v>19</v>
      </c>
      <c r="AA223" s="7" t="str">
        <f>IF($T223="","",INDEX(Tables!$B:$B,MATCH($T223,Tables!$F:$F,0)))</f>
        <v/>
      </c>
      <c r="AB223" s="7">
        <f t="shared" si="43"/>
        <v>0</v>
      </c>
      <c r="AC223" s="7">
        <f t="shared" si="44"/>
        <v>0</v>
      </c>
      <c r="AD223" s="54">
        <f t="shared" si="45"/>
        <v>0</v>
      </c>
      <c r="AE223" s="2" t="s">
        <v>109</v>
      </c>
      <c r="AF223" t="s">
        <v>120</v>
      </c>
    </row>
    <row r="224" spans="1:34" hidden="1" x14ac:dyDescent="0.25">
      <c r="A224" s="5">
        <f>IF(B224="","",MAX($A$1:$A223)+1)</f>
        <v>221</v>
      </c>
      <c r="B224" s="8" t="s">
        <v>361</v>
      </c>
      <c r="C224" s="7">
        <f>IF(B224="","",MATCH(B224,Tables!F:F,0))</f>
        <v>12</v>
      </c>
      <c r="D224" s="3" t="str" cm="1">
        <f t="array" ref="D224">IF(C224="","",IF(ISERROR(C224),"",INDEX(Tables!E:E,C224)))</f>
        <v>cllmsg</v>
      </c>
      <c r="E224" t="s">
        <v>112</v>
      </c>
      <c r="F224" s="1" t="str">
        <f t="shared" si="42"/>
        <v>cllmsgSystemCreationID</v>
      </c>
      <c r="G224" t="s">
        <v>243</v>
      </c>
      <c r="H224" s="17">
        <v>5</v>
      </c>
      <c r="K224" s="2" t="s">
        <v>46</v>
      </c>
      <c r="N224" s="2" t="s">
        <v>46</v>
      </c>
      <c r="S224" t="s">
        <v>121</v>
      </c>
      <c r="T224" s="8" t="s">
        <v>228</v>
      </c>
      <c r="U224" s="8" t="s">
        <v>232</v>
      </c>
      <c r="V224" s="1" t="str">
        <f t="shared" si="64"/>
        <v>FK_cllmsgSystemCreationID_usrSystemIdx</v>
      </c>
      <c r="W224" s="53" t="str">
        <f t="shared" si="47"/>
        <v>typeint_size5_unsigned</v>
      </c>
      <c r="X224" s="53" t="str">
        <f t="shared" si="41"/>
        <v>typeint_size5_unsigned</v>
      </c>
      <c r="Y224" s="53">
        <f t="shared" si="48"/>
        <v>0</v>
      </c>
      <c r="Z224" s="7">
        <f>IF($B224="",0,INDEX(Tables!$B:$B,MATCH($B224,Tables!$F:$F,0)))</f>
        <v>19</v>
      </c>
      <c r="AA224" s="7">
        <f>IF($T224="","",INDEX(Tables!$B:$B,MATCH($T224,Tables!$F:$F,0)))</f>
        <v>0</v>
      </c>
      <c r="AB224" s="7">
        <f t="shared" si="43"/>
        <v>0</v>
      </c>
      <c r="AC224" s="7">
        <f t="shared" si="44"/>
        <v>0</v>
      </c>
      <c r="AD224" s="54">
        <f t="shared" si="45"/>
        <v>0</v>
      </c>
      <c r="AE224" s="2" t="s">
        <v>107</v>
      </c>
      <c r="AF224" t="s">
        <v>444</v>
      </c>
    </row>
    <row r="225" spans="1:32" hidden="1" x14ac:dyDescent="0.25">
      <c r="A225" s="5">
        <f>IF(B225="","",MAX($A$1:$A224)+1)</f>
        <v>222</v>
      </c>
      <c r="B225" s="8" t="s">
        <v>361</v>
      </c>
      <c r="C225" s="7">
        <f>IF(B225="","",MATCH(B225,Tables!F:F,0))</f>
        <v>12</v>
      </c>
      <c r="D225" s="3" t="str" cm="1">
        <f t="array" ref="D225">IF(C225="","",IF(ISERROR(C225),"",INDEX(Tables!E:E,C225)))</f>
        <v>cllmsg</v>
      </c>
      <c r="E225" t="s">
        <v>113</v>
      </c>
      <c r="F225" s="1" t="str">
        <f t="shared" si="42"/>
        <v>cllmsgSystemLastUpdateDt</v>
      </c>
      <c r="G225" t="s">
        <v>297</v>
      </c>
      <c r="R225" s="2" t="s">
        <v>118</v>
      </c>
      <c r="S225" t="s">
        <v>122</v>
      </c>
      <c r="V225" s="1" t="str">
        <f t="shared" si="64"/>
        <v/>
      </c>
      <c r="W225" s="53" t="str">
        <f t="shared" si="47"/>
        <v>typeDATETIME_size</v>
      </c>
      <c r="X225" s="53" t="str">
        <f t="shared" si="41"/>
        <v/>
      </c>
      <c r="Y225" s="53">
        <f t="shared" si="48"/>
        <v>0</v>
      </c>
      <c r="Z225" s="7">
        <f>IF($B225="",0,INDEX(Tables!$B:$B,MATCH($B225,Tables!$F:$F,0)))</f>
        <v>19</v>
      </c>
      <c r="AA225" s="7" t="str">
        <f>IF($T225="","",INDEX(Tables!$B:$B,MATCH($T225,Tables!$F:$F,0)))</f>
        <v/>
      </c>
      <c r="AB225" s="7">
        <f t="shared" si="43"/>
        <v>0</v>
      </c>
      <c r="AC225" s="7">
        <f t="shared" si="44"/>
        <v>0</v>
      </c>
      <c r="AD225" s="54">
        <f t="shared" si="45"/>
        <v>0</v>
      </c>
      <c r="AE225" s="2" t="s">
        <v>109</v>
      </c>
      <c r="AF225" t="s">
        <v>445</v>
      </c>
    </row>
    <row r="226" spans="1:32" hidden="1" x14ac:dyDescent="0.25">
      <c r="A226" s="5">
        <f>IF(B226="","",MAX($A$1:$A225)+1)</f>
        <v>223</v>
      </c>
      <c r="B226" s="8" t="s">
        <v>361</v>
      </c>
      <c r="C226" s="7">
        <f>IF(B226="","",MATCH(B226,Tables!F:F,0))</f>
        <v>12</v>
      </c>
      <c r="D226" s="3" t="str" cm="1">
        <f t="array" ref="D226">IF(C226="","",IF(ISERROR(C226),"",INDEX(Tables!E:E,C226)))</f>
        <v>cllmsg</v>
      </c>
      <c r="E226" t="s">
        <v>114</v>
      </c>
      <c r="F226" s="1" t="str">
        <f t="shared" si="42"/>
        <v>cllmsgSystemLastUpdateID</v>
      </c>
      <c r="G226" t="s">
        <v>243</v>
      </c>
      <c r="H226" s="17">
        <v>5</v>
      </c>
      <c r="N226" s="2" t="s">
        <v>46</v>
      </c>
      <c r="R226" s="2" t="s">
        <v>118</v>
      </c>
      <c r="S226" t="s">
        <v>123</v>
      </c>
      <c r="T226" s="8" t="s">
        <v>228</v>
      </c>
      <c r="U226" s="8" t="s">
        <v>232</v>
      </c>
      <c r="V226" s="1" t="str">
        <f t="shared" si="64"/>
        <v>FK_cllmsgSystemLastUpdateID_usrSystemIdx</v>
      </c>
      <c r="W226" s="53" t="str">
        <f t="shared" si="47"/>
        <v>typeint_size5_unsigned</v>
      </c>
      <c r="X226" s="53" t="str">
        <f t="shared" si="41"/>
        <v>typeint_size5_unsigned</v>
      </c>
      <c r="Y226" s="53">
        <f t="shared" si="48"/>
        <v>0</v>
      </c>
      <c r="Z226" s="7">
        <f>IF($B226="",0,INDEX(Tables!$B:$B,MATCH($B226,Tables!$F:$F,0)))</f>
        <v>19</v>
      </c>
      <c r="AA226" s="7">
        <f>IF($T226="","",INDEX(Tables!$B:$B,MATCH($T226,Tables!$F:$F,0)))</f>
        <v>0</v>
      </c>
      <c r="AB226" s="7">
        <f t="shared" si="43"/>
        <v>0</v>
      </c>
      <c r="AC226" s="7">
        <f t="shared" si="44"/>
        <v>0</v>
      </c>
      <c r="AD226" s="54">
        <f t="shared" si="45"/>
        <v>0</v>
      </c>
      <c r="AE226" s="2" t="s">
        <v>107</v>
      </c>
      <c r="AF226" t="s">
        <v>443</v>
      </c>
    </row>
  </sheetData>
  <autoFilter ref="A1:AH226" xr:uid="{69C7D646-9B64-417B-AB0F-845F3A6DA8B8}">
    <filterColumn colId="33">
      <customFilters>
        <customFilter operator="notEqual" val=" "/>
      </customFilters>
    </filterColumn>
  </autoFilter>
  <conditionalFormatting sqref="F1:F1048576">
    <cfRule type="duplicateValues" dxfId="2" priority="5"/>
  </conditionalFormatting>
  <conditionalFormatting sqref="A2:XFD1048576">
    <cfRule type="expression" dxfId="1" priority="1">
      <formula>$AD2&gt;0</formula>
    </cfRule>
  </conditionalFormatting>
  <dataValidations count="1">
    <dataValidation type="list" allowBlank="1" showInputMessage="1" showErrorMessage="1" sqref="U2:U1048576" xr:uid="{0DBDE890-2087-47C2-A12A-0435CB47CC1C}">
      <formula1>OFFSET($F$1,MATCH($T2,$B:$B,0)-1,,COUNTIF($B:$B,$T2))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363E0C4B-78E2-4144-BD32-FCFDB7597B0D}">
            <xm:f>IF($T2="",FALSE,ISERROR(MATCH($T2,Tables!F:F,0)))</xm:f>
            <x14:dxf>
              <fill>
                <patternFill>
                  <bgColor theme="7"/>
                </patternFill>
              </fill>
            </x14:dxf>
          </x14:cfRule>
          <xm:sqref>T2:T1048576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838FE8B-6A59-433C-84C4-3A27E80AFFF4}">
          <x14:formula1>
            <xm:f>Tables!$F:$F</xm:f>
          </x14:formula1>
          <xm:sqref>T2:T1048576 B2:B1048576</xm:sqref>
        </x14:dataValidation>
        <x14:dataValidation type="list" allowBlank="1" showInputMessage="1" showErrorMessage="1" xr:uid="{441F8D40-2966-4700-9255-56CBA960A803}">
          <x14:formula1>
            <xm:f>Enumerate!$B$2:$B$30</xm:f>
          </x14:formula1>
          <xm:sqref>AG2:AG1048576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A31E-A05B-4475-96B0-7F0D675BF2B5}">
  <sheetPr codeName="plnIndexes"/>
  <dimension ref="A1:S50"/>
  <sheetViews>
    <sheetView workbookViewId="0">
      <pane xSplit="6" ySplit="1" topLeftCell="G2" activePane="bottomRight" state="frozen"/>
      <selection pane="topRight" activeCell="E1" sqref="E1"/>
      <selection pane="bottomLeft" activeCell="A2" sqref="A2"/>
      <selection pane="bottomRight" activeCell="J3" sqref="J3"/>
    </sheetView>
  </sheetViews>
  <sheetFormatPr defaultRowHeight="15" x14ac:dyDescent="0.25"/>
  <cols>
    <col min="1" max="1" width="2" style="47" bestFit="1" customWidth="1"/>
    <col min="2" max="2" width="8" style="16" bestFit="1" customWidth="1"/>
    <col min="3" max="3" width="59.28515625" style="47" bestFit="1" customWidth="1"/>
    <col min="4" max="4" width="10.5703125" style="51" customWidth="1"/>
    <col min="5" max="5" width="29.42578125" style="48" customWidth="1"/>
    <col min="6" max="6" width="21.140625" style="49" bestFit="1" customWidth="1"/>
    <col min="7" max="7" width="6.28515625" style="51" bestFit="1" customWidth="1"/>
    <col min="8" max="8" width="15.140625" style="49" bestFit="1" customWidth="1"/>
    <col min="9" max="9" width="6" style="17" bestFit="1" customWidth="1"/>
    <col min="10" max="10" width="17.85546875" style="49" bestFit="1" customWidth="1"/>
    <col min="11" max="11" width="6" style="17" bestFit="1" customWidth="1"/>
    <col min="12" max="12" width="13.85546875" style="49" bestFit="1" customWidth="1"/>
    <col min="13" max="13" width="6" style="17" bestFit="1" customWidth="1"/>
    <col min="14" max="14" width="7.7109375" style="49" bestFit="1" customWidth="1"/>
    <col min="15" max="15" width="6" style="17" bestFit="1" customWidth="1"/>
    <col min="16" max="16" width="7.7109375" style="49" bestFit="1" customWidth="1"/>
    <col min="17" max="17" width="6" style="17" bestFit="1" customWidth="1"/>
    <col min="18" max="18" width="7.7109375" style="49" bestFit="1" customWidth="1"/>
    <col min="19" max="19" width="6" style="17" bestFit="1" customWidth="1"/>
    <col min="20" max="20" width="12.7109375" style="16" bestFit="1" customWidth="1"/>
    <col min="21" max="21" width="11" style="16" bestFit="1" customWidth="1"/>
    <col min="22" max="16384" width="9.140625" style="16"/>
  </cols>
  <sheetData>
    <row r="1" spans="1:19" s="9" customFormat="1" ht="45" x14ac:dyDescent="0.25">
      <c r="A1" s="31" t="s">
        <v>0</v>
      </c>
      <c r="B1" s="32" t="s">
        <v>139</v>
      </c>
      <c r="C1" s="32" t="s">
        <v>127</v>
      </c>
      <c r="D1" s="32" t="s">
        <v>300</v>
      </c>
      <c r="E1" s="32" t="s">
        <v>287</v>
      </c>
      <c r="F1" s="32" t="s">
        <v>219</v>
      </c>
      <c r="G1" s="32" t="s">
        <v>299</v>
      </c>
      <c r="H1" s="32" t="s">
        <v>273</v>
      </c>
      <c r="I1" s="32" t="s">
        <v>279</v>
      </c>
      <c r="J1" s="32" t="s">
        <v>274</v>
      </c>
      <c r="K1" s="32" t="s">
        <v>280</v>
      </c>
      <c r="L1" s="32" t="s">
        <v>275</v>
      </c>
      <c r="M1" s="32" t="s">
        <v>281</v>
      </c>
      <c r="N1" s="32" t="s">
        <v>276</v>
      </c>
      <c r="O1" s="32" t="s">
        <v>282</v>
      </c>
      <c r="P1" s="32" t="s">
        <v>277</v>
      </c>
      <c r="Q1" s="32" t="s">
        <v>283</v>
      </c>
      <c r="R1" s="32" t="s">
        <v>278</v>
      </c>
      <c r="S1" s="33" t="s">
        <v>284</v>
      </c>
    </row>
    <row r="2" spans="1:19" ht="30" x14ac:dyDescent="0.25">
      <c r="A2" s="34">
        <f>IF(B2="","",MAX($A$1:$A1)+1)</f>
        <v>1</v>
      </c>
      <c r="B2" s="35" t="s">
        <v>285</v>
      </c>
      <c r="C2" s="36" t="str">
        <f>IF(OR(B2="",F2="",H2=""),"",_xlfn.CONCAT("idx_",B2,"_",SUBSTITUTE(F2,"tb",""),"_",SUBSTITUTE(H2,G2,""),IF(J2="","",_xlfn.CONCAT("_",SUBSTITUTE(J2,G2,""))),IF(L2="","",_xlfn.CONCAT("_",SUBSTITUTE(L2,G2,""))),IF(N2="","",_xlfn.CONCAT("_",SUBSTITUTE(N2,G2,""))),IF(P2="","",_xlfn.CONCAT("_",SUBSTITUTE(P2,G2,""))),IF(R2="","",_xlfn.CONCAT("_",SUBSTITUTE(R2,G2,"")))))</f>
        <v>idx_UNIQUE_ManagerProducts_DescName_Year</v>
      </c>
      <c r="D2" s="50">
        <f>IF(C2="","",LEN(C2))</f>
        <v>40</v>
      </c>
      <c r="E2" s="37" t="s">
        <v>288</v>
      </c>
      <c r="F2" s="38" t="s">
        <v>226</v>
      </c>
      <c r="G2" s="50" t="str">
        <f>IF(F2="","",INDEX(Tables!E:E,MATCH(F2,Tables!F:F,0)))</f>
        <v>prdct</v>
      </c>
      <c r="H2" s="38" t="s">
        <v>368</v>
      </c>
      <c r="I2" s="39">
        <v>20</v>
      </c>
      <c r="J2" s="38" t="s">
        <v>286</v>
      </c>
      <c r="K2" s="39">
        <v>4</v>
      </c>
      <c r="L2" s="38"/>
      <c r="M2" s="39"/>
      <c r="N2" s="38"/>
      <c r="O2" s="39"/>
      <c r="P2" s="38"/>
      <c r="Q2" s="39"/>
      <c r="R2" s="38"/>
      <c r="S2" s="40"/>
    </row>
    <row r="3" spans="1:19" ht="45" x14ac:dyDescent="0.25">
      <c r="A3" s="34">
        <f>IF(B3="","",MAX($A$1:$A2)+1)</f>
        <v>2</v>
      </c>
      <c r="B3" s="35" t="s">
        <v>285</v>
      </c>
      <c r="C3" s="36" t="str">
        <f t="shared" ref="C3:C50" si="0">IF(OR(B3="",F3="",H3=""),"",_xlfn.CONCAT("idx_",B3,"_",SUBSTITUTE(F3,"tb",""),"_",SUBSTITUTE(H3,G3,""),IF(J3="","",_xlfn.CONCAT("_",SUBSTITUTE(J3,G3,""))),IF(L3="","",_xlfn.CONCAT("_",SUBSTITUTE(L3,G3,""))),IF(N3="","",_xlfn.CONCAT("_",SUBSTITUTE(N3,G3,""))),IF(P3="","",_xlfn.CONCAT("_",SUBSTITUTE(P3,G3,""))),IF(R3="","",_xlfn.CONCAT("_",SUBSTITUTE(R3,G3,"")))))</f>
        <v>idx_UNIQUE_ManagerPromotions_Name_SubDomain_ValidYear</v>
      </c>
      <c r="D3" s="50">
        <f t="shared" ref="D3:D50" si="1">IF(C3="","",LEN(C3))</f>
        <v>53</v>
      </c>
      <c r="E3" s="37" t="s">
        <v>294</v>
      </c>
      <c r="F3" s="38" t="s">
        <v>227</v>
      </c>
      <c r="G3" s="50" t="str">
        <f>IF(F3="","",INDEX(Tables!E:E,MATCH(F3,Tables!F:F,0)))</f>
        <v>prmt</v>
      </c>
      <c r="H3" s="38" t="s">
        <v>291</v>
      </c>
      <c r="I3" s="39">
        <v>20</v>
      </c>
      <c r="J3" s="38" t="s">
        <v>292</v>
      </c>
      <c r="K3" s="39">
        <v>10</v>
      </c>
      <c r="L3" s="38" t="s">
        <v>296</v>
      </c>
      <c r="M3" s="39">
        <v>4</v>
      </c>
      <c r="N3" s="38"/>
      <c r="O3" s="39"/>
      <c r="P3" s="38"/>
      <c r="Q3" s="39"/>
      <c r="R3" s="38"/>
      <c r="S3" s="40"/>
    </row>
    <row r="4" spans="1:19" ht="45" x14ac:dyDescent="0.25">
      <c r="A4" s="34">
        <f>IF(B4="","",MAX($A$1:$A3)+1)</f>
        <v>3</v>
      </c>
      <c r="B4" s="35" t="s">
        <v>285</v>
      </c>
      <c r="C4" s="36" t="str">
        <f t="shared" si="0"/>
        <v>idx_UNIQUE_ManagerPromotions_Code_SubDomain_ValidYear</v>
      </c>
      <c r="D4" s="50">
        <f t="shared" si="1"/>
        <v>53</v>
      </c>
      <c r="E4" s="37" t="s">
        <v>295</v>
      </c>
      <c r="F4" s="38" t="s">
        <v>227</v>
      </c>
      <c r="G4" s="50" t="str">
        <f>IF(F4="","",INDEX(Tables!E:E,MATCH(F4,Tables!F:F,0)))</f>
        <v>prmt</v>
      </c>
      <c r="H4" s="38" t="s">
        <v>293</v>
      </c>
      <c r="I4" s="39">
        <v>10</v>
      </c>
      <c r="J4" s="38" t="s">
        <v>292</v>
      </c>
      <c r="K4" s="39">
        <v>10</v>
      </c>
      <c r="L4" s="38" t="s">
        <v>296</v>
      </c>
      <c r="M4" s="39">
        <v>4</v>
      </c>
      <c r="N4" s="38"/>
      <c r="O4" s="39"/>
      <c r="P4" s="38"/>
      <c r="Q4" s="39"/>
      <c r="R4" s="38"/>
      <c r="S4" s="40"/>
    </row>
    <row r="5" spans="1:19" x14ac:dyDescent="0.25">
      <c r="A5" s="34" t="str">
        <f>IF(B5="","",MAX($A$1:$A4)+1)</f>
        <v/>
      </c>
      <c r="B5" s="35"/>
      <c r="C5" s="36" t="str">
        <f t="shared" si="0"/>
        <v/>
      </c>
      <c r="D5" s="50" t="str">
        <f t="shared" si="1"/>
        <v/>
      </c>
      <c r="E5" s="37"/>
      <c r="F5" s="38"/>
      <c r="G5" s="50" t="str">
        <f>IF(F5="","",INDEX(Tables!E:E,MATCH(F5,Tables!F:F,0)))</f>
        <v/>
      </c>
      <c r="H5" s="38"/>
      <c r="I5" s="39"/>
      <c r="J5" s="38"/>
      <c r="K5" s="39"/>
      <c r="L5" s="38"/>
      <c r="M5" s="39"/>
      <c r="N5" s="38"/>
      <c r="O5" s="39"/>
      <c r="P5" s="38"/>
      <c r="Q5" s="39"/>
      <c r="R5" s="38"/>
      <c r="S5" s="40"/>
    </row>
    <row r="6" spans="1:19" x14ac:dyDescent="0.25">
      <c r="A6" s="34" t="str">
        <f>IF(B6="","",MAX($A$1:$A5)+1)</f>
        <v/>
      </c>
      <c r="B6" s="35"/>
      <c r="C6" s="36" t="str">
        <f t="shared" si="0"/>
        <v/>
      </c>
      <c r="D6" s="50" t="str">
        <f t="shared" si="1"/>
        <v/>
      </c>
      <c r="E6" s="37"/>
      <c r="F6" s="38"/>
      <c r="G6" s="50" t="str">
        <f>IF(F6="","",INDEX(Tables!E:E,MATCH(F6,Tables!F:F,0)))</f>
        <v/>
      </c>
      <c r="H6" s="38"/>
      <c r="I6" s="39"/>
      <c r="J6" s="38"/>
      <c r="K6" s="39"/>
      <c r="L6" s="38"/>
      <c r="M6" s="39"/>
      <c r="N6" s="38"/>
      <c r="O6" s="39"/>
      <c r="P6" s="38"/>
      <c r="Q6" s="39"/>
      <c r="R6" s="38"/>
      <c r="S6" s="40"/>
    </row>
    <row r="7" spans="1:19" x14ac:dyDescent="0.25">
      <c r="A7" s="34" t="str">
        <f>IF(B7="","",MAX($A$1:$A6)+1)</f>
        <v/>
      </c>
      <c r="B7" s="35"/>
      <c r="C7" s="36" t="str">
        <f t="shared" si="0"/>
        <v/>
      </c>
      <c r="D7" s="50" t="str">
        <f t="shared" si="1"/>
        <v/>
      </c>
      <c r="E7" s="37"/>
      <c r="F7" s="38"/>
      <c r="G7" s="50" t="str">
        <f>IF(F7="","",INDEX(Tables!E:E,MATCH(F7,Tables!F:F,0)))</f>
        <v/>
      </c>
      <c r="H7" s="38"/>
      <c r="I7" s="39"/>
      <c r="J7" s="38"/>
      <c r="K7" s="39"/>
      <c r="L7" s="38"/>
      <c r="M7" s="39"/>
      <c r="N7" s="38"/>
      <c r="O7" s="39"/>
      <c r="P7" s="38"/>
      <c r="Q7" s="39"/>
      <c r="R7" s="38"/>
      <c r="S7" s="40"/>
    </row>
    <row r="8" spans="1:19" x14ac:dyDescent="0.25">
      <c r="A8" s="34" t="str">
        <f>IF(B8="","",MAX($A$1:$A7)+1)</f>
        <v/>
      </c>
      <c r="B8" s="35"/>
      <c r="C8" s="36" t="str">
        <f t="shared" si="0"/>
        <v/>
      </c>
      <c r="D8" s="50" t="str">
        <f t="shared" si="1"/>
        <v/>
      </c>
      <c r="E8" s="37"/>
      <c r="F8" s="38"/>
      <c r="G8" s="50" t="str">
        <f>IF(F8="","",INDEX(Tables!E:E,MATCH(F8,Tables!F:F,0)))</f>
        <v/>
      </c>
      <c r="H8" s="38"/>
      <c r="I8" s="39"/>
      <c r="J8" s="38"/>
      <c r="K8" s="39"/>
      <c r="L8" s="38"/>
      <c r="M8" s="39"/>
      <c r="N8" s="38"/>
      <c r="O8" s="39"/>
      <c r="P8" s="38"/>
      <c r="Q8" s="39"/>
      <c r="R8" s="38"/>
      <c r="S8" s="40"/>
    </row>
    <row r="9" spans="1:19" x14ac:dyDescent="0.25">
      <c r="A9" s="34" t="str">
        <f>IF(B9="","",MAX($A$1:$A8)+1)</f>
        <v/>
      </c>
      <c r="B9" s="35"/>
      <c r="C9" s="36" t="str">
        <f t="shared" si="0"/>
        <v/>
      </c>
      <c r="D9" s="50" t="str">
        <f t="shared" si="1"/>
        <v/>
      </c>
      <c r="E9" s="37"/>
      <c r="F9" s="38"/>
      <c r="G9" s="50" t="str">
        <f>IF(F9="","",INDEX(Tables!E:E,MATCH(F9,Tables!F:F,0)))</f>
        <v/>
      </c>
      <c r="H9" s="38"/>
      <c r="I9" s="39"/>
      <c r="J9" s="38"/>
      <c r="K9" s="39"/>
      <c r="L9" s="38"/>
      <c r="M9" s="39"/>
      <c r="N9" s="38"/>
      <c r="O9" s="39"/>
      <c r="P9" s="38"/>
      <c r="Q9" s="39"/>
      <c r="R9" s="38"/>
      <c r="S9" s="40"/>
    </row>
    <row r="10" spans="1:19" x14ac:dyDescent="0.25">
      <c r="A10" s="34" t="str">
        <f>IF(B10="","",MAX($A$1:$A9)+1)</f>
        <v/>
      </c>
      <c r="B10" s="35"/>
      <c r="C10" s="36" t="str">
        <f t="shared" si="0"/>
        <v/>
      </c>
      <c r="D10" s="50" t="str">
        <f t="shared" si="1"/>
        <v/>
      </c>
      <c r="E10" s="37"/>
      <c r="F10" s="38"/>
      <c r="G10" s="50" t="str">
        <f>IF(F10="","",INDEX(Tables!E:E,MATCH(F10,Tables!F:F,0)))</f>
        <v/>
      </c>
      <c r="H10" s="38"/>
      <c r="I10" s="39"/>
      <c r="J10" s="38"/>
      <c r="K10" s="39"/>
      <c r="L10" s="38"/>
      <c r="M10" s="39"/>
      <c r="N10" s="38"/>
      <c r="O10" s="39"/>
      <c r="P10" s="38"/>
      <c r="Q10" s="39"/>
      <c r="R10" s="38"/>
      <c r="S10" s="40"/>
    </row>
    <row r="11" spans="1:19" x14ac:dyDescent="0.25">
      <c r="A11" s="34" t="str">
        <f>IF(B11="","",MAX($A$1:$A10)+1)</f>
        <v/>
      </c>
      <c r="B11" s="35"/>
      <c r="C11" s="36" t="str">
        <f t="shared" si="0"/>
        <v/>
      </c>
      <c r="D11" s="50" t="str">
        <f t="shared" si="1"/>
        <v/>
      </c>
      <c r="E11" s="37"/>
      <c r="F11" s="38"/>
      <c r="G11" s="50" t="str">
        <f>IF(F11="","",INDEX(Tables!E:E,MATCH(F11,Tables!F:F,0)))</f>
        <v/>
      </c>
      <c r="H11" s="38"/>
      <c r="I11" s="39"/>
      <c r="J11" s="38"/>
      <c r="K11" s="39"/>
      <c r="L11" s="38"/>
      <c r="M11" s="39"/>
      <c r="N11" s="38"/>
      <c r="O11" s="39"/>
      <c r="P11" s="38"/>
      <c r="Q11" s="39"/>
      <c r="R11" s="38"/>
      <c r="S11" s="40"/>
    </row>
    <row r="12" spans="1:19" x14ac:dyDescent="0.25">
      <c r="A12" s="34" t="str">
        <f>IF(B12="","",MAX($A$1:$A11)+1)</f>
        <v/>
      </c>
      <c r="B12" s="35"/>
      <c r="C12" s="36" t="str">
        <f t="shared" si="0"/>
        <v/>
      </c>
      <c r="D12" s="50" t="str">
        <f t="shared" si="1"/>
        <v/>
      </c>
      <c r="E12" s="37"/>
      <c r="F12" s="38"/>
      <c r="G12" s="50" t="str">
        <f>IF(F12="","",INDEX(Tables!E:E,MATCH(F12,Tables!F:F,0)))</f>
        <v/>
      </c>
      <c r="H12" s="38"/>
      <c r="I12" s="39"/>
      <c r="J12" s="38"/>
      <c r="K12" s="39"/>
      <c r="L12" s="38"/>
      <c r="M12" s="39"/>
      <c r="N12" s="38"/>
      <c r="O12" s="39"/>
      <c r="P12" s="38"/>
      <c r="Q12" s="39"/>
      <c r="R12" s="38"/>
      <c r="S12" s="40"/>
    </row>
    <row r="13" spans="1:19" x14ac:dyDescent="0.25">
      <c r="A13" s="34" t="str">
        <f>IF(B13="","",MAX($A$1:$A12)+1)</f>
        <v/>
      </c>
      <c r="B13" s="35"/>
      <c r="C13" s="36" t="str">
        <f t="shared" si="0"/>
        <v/>
      </c>
      <c r="D13" s="50" t="str">
        <f t="shared" si="1"/>
        <v/>
      </c>
      <c r="E13" s="37"/>
      <c r="F13" s="38"/>
      <c r="G13" s="50" t="str">
        <f>IF(F13="","",INDEX(Tables!E:E,MATCH(F13,Tables!F:F,0)))</f>
        <v/>
      </c>
      <c r="H13" s="38"/>
      <c r="I13" s="39"/>
      <c r="J13" s="38"/>
      <c r="K13" s="39"/>
      <c r="L13" s="38"/>
      <c r="M13" s="39"/>
      <c r="N13" s="38"/>
      <c r="O13" s="39"/>
      <c r="P13" s="38"/>
      <c r="Q13" s="39"/>
      <c r="R13" s="38"/>
      <c r="S13" s="40"/>
    </row>
    <row r="14" spans="1:19" x14ac:dyDescent="0.25">
      <c r="A14" s="34" t="str">
        <f>IF(B14="","",MAX($A$1:$A13)+1)</f>
        <v/>
      </c>
      <c r="B14" s="35"/>
      <c r="C14" s="36" t="str">
        <f t="shared" si="0"/>
        <v/>
      </c>
      <c r="D14" s="50" t="str">
        <f t="shared" si="1"/>
        <v/>
      </c>
      <c r="E14" s="37"/>
      <c r="F14" s="38"/>
      <c r="G14" s="50" t="str">
        <f>IF(F14="","",INDEX(Tables!E:E,MATCH(F14,Tables!F:F,0)))</f>
        <v/>
      </c>
      <c r="H14" s="38"/>
      <c r="I14" s="39"/>
      <c r="J14" s="38"/>
      <c r="K14" s="39"/>
      <c r="L14" s="38"/>
      <c r="M14" s="39"/>
      <c r="N14" s="38"/>
      <c r="O14" s="39"/>
      <c r="P14" s="38"/>
      <c r="Q14" s="39"/>
      <c r="R14" s="38"/>
      <c r="S14" s="40"/>
    </row>
    <row r="15" spans="1:19" x14ac:dyDescent="0.25">
      <c r="A15" s="34" t="str">
        <f>IF(B15="","",MAX($A$1:$A14)+1)</f>
        <v/>
      </c>
      <c r="B15" s="35"/>
      <c r="C15" s="36" t="str">
        <f t="shared" si="0"/>
        <v/>
      </c>
      <c r="D15" s="50" t="str">
        <f t="shared" si="1"/>
        <v/>
      </c>
      <c r="E15" s="37"/>
      <c r="F15" s="38"/>
      <c r="G15" s="50" t="str">
        <f>IF(F15="","",INDEX(Tables!E:E,MATCH(F15,Tables!F:F,0)))</f>
        <v/>
      </c>
      <c r="H15" s="38"/>
      <c r="I15" s="39"/>
      <c r="J15" s="38"/>
      <c r="K15" s="39"/>
      <c r="L15" s="38"/>
      <c r="M15" s="39"/>
      <c r="N15" s="38"/>
      <c r="O15" s="39"/>
      <c r="P15" s="38"/>
      <c r="Q15" s="39"/>
      <c r="R15" s="38"/>
      <c r="S15" s="40"/>
    </row>
    <row r="16" spans="1:19" x14ac:dyDescent="0.25">
      <c r="A16" s="34" t="str">
        <f>IF(B16="","",MAX($A$1:$A15)+1)</f>
        <v/>
      </c>
      <c r="B16" s="35"/>
      <c r="C16" s="36" t="str">
        <f t="shared" si="0"/>
        <v/>
      </c>
      <c r="D16" s="50" t="str">
        <f t="shared" si="1"/>
        <v/>
      </c>
      <c r="E16" s="37"/>
      <c r="F16" s="38"/>
      <c r="G16" s="50" t="str">
        <f>IF(F16="","",INDEX(Tables!E:E,MATCH(F16,Tables!F:F,0)))</f>
        <v/>
      </c>
      <c r="H16" s="38"/>
      <c r="I16" s="39"/>
      <c r="J16" s="38"/>
      <c r="K16" s="39"/>
      <c r="L16" s="38"/>
      <c r="M16" s="39"/>
      <c r="N16" s="38"/>
      <c r="O16" s="39"/>
      <c r="P16" s="38"/>
      <c r="Q16" s="39"/>
      <c r="R16" s="38"/>
      <c r="S16" s="40"/>
    </row>
    <row r="17" spans="1:19" x14ac:dyDescent="0.25">
      <c r="A17" s="34" t="str">
        <f>IF(B17="","",MAX($A$1:$A16)+1)</f>
        <v/>
      </c>
      <c r="B17" s="35"/>
      <c r="C17" s="36" t="str">
        <f t="shared" si="0"/>
        <v/>
      </c>
      <c r="D17" s="50" t="str">
        <f t="shared" si="1"/>
        <v/>
      </c>
      <c r="E17" s="37"/>
      <c r="F17" s="38"/>
      <c r="G17" s="50" t="str">
        <f>IF(F17="","",INDEX(Tables!E:E,MATCH(F17,Tables!F:F,0)))</f>
        <v/>
      </c>
      <c r="H17" s="38"/>
      <c r="I17" s="39"/>
      <c r="J17" s="38"/>
      <c r="K17" s="39"/>
      <c r="L17" s="38"/>
      <c r="M17" s="39"/>
      <c r="N17" s="38"/>
      <c r="O17" s="39"/>
      <c r="P17" s="38"/>
      <c r="Q17" s="39"/>
      <c r="R17" s="38"/>
      <c r="S17" s="40"/>
    </row>
    <row r="18" spans="1:19" x14ac:dyDescent="0.25">
      <c r="A18" s="34" t="str">
        <f>IF(B18="","",MAX($A$1:$A17)+1)</f>
        <v/>
      </c>
      <c r="B18" s="35"/>
      <c r="C18" s="36" t="str">
        <f t="shared" si="0"/>
        <v/>
      </c>
      <c r="D18" s="50" t="str">
        <f t="shared" si="1"/>
        <v/>
      </c>
      <c r="E18" s="37"/>
      <c r="F18" s="38"/>
      <c r="G18" s="50" t="str">
        <f>IF(F18="","",INDEX(Tables!E:E,MATCH(F18,Tables!F:F,0)))</f>
        <v/>
      </c>
      <c r="H18" s="38"/>
      <c r="I18" s="39"/>
      <c r="J18" s="38"/>
      <c r="K18" s="39"/>
      <c r="L18" s="38"/>
      <c r="M18" s="39"/>
      <c r="N18" s="38"/>
      <c r="O18" s="39"/>
      <c r="P18" s="38"/>
      <c r="Q18" s="39"/>
      <c r="R18" s="38"/>
      <c r="S18" s="40"/>
    </row>
    <row r="19" spans="1:19" x14ac:dyDescent="0.25">
      <c r="A19" s="34" t="str">
        <f>IF(B19="","",MAX($A$1:$A18)+1)</f>
        <v/>
      </c>
      <c r="B19" s="35"/>
      <c r="C19" s="36" t="str">
        <f t="shared" si="0"/>
        <v/>
      </c>
      <c r="D19" s="50" t="str">
        <f t="shared" si="1"/>
        <v/>
      </c>
      <c r="E19" s="37"/>
      <c r="F19" s="38"/>
      <c r="G19" s="50" t="str">
        <f>IF(F19="","",INDEX(Tables!E:E,MATCH(F19,Tables!F:F,0)))</f>
        <v/>
      </c>
      <c r="H19" s="38"/>
      <c r="I19" s="39"/>
      <c r="J19" s="38"/>
      <c r="K19" s="39"/>
      <c r="L19" s="38"/>
      <c r="M19" s="39"/>
      <c r="N19" s="38"/>
      <c r="O19" s="39"/>
      <c r="P19" s="38"/>
      <c r="Q19" s="39"/>
      <c r="R19" s="38"/>
      <c r="S19" s="40"/>
    </row>
    <row r="20" spans="1:19" x14ac:dyDescent="0.25">
      <c r="A20" s="34" t="str">
        <f>IF(B20="","",MAX($A$1:$A19)+1)</f>
        <v/>
      </c>
      <c r="B20" s="35"/>
      <c r="C20" s="36" t="str">
        <f t="shared" si="0"/>
        <v/>
      </c>
      <c r="D20" s="50" t="str">
        <f t="shared" si="1"/>
        <v/>
      </c>
      <c r="E20" s="37"/>
      <c r="F20" s="38"/>
      <c r="G20" s="50" t="str">
        <f>IF(F20="","",INDEX(Tables!E:E,MATCH(F20,Tables!F:F,0)))</f>
        <v/>
      </c>
      <c r="H20" s="38"/>
      <c r="I20" s="39"/>
      <c r="J20" s="38"/>
      <c r="K20" s="39"/>
      <c r="L20" s="38"/>
      <c r="M20" s="39"/>
      <c r="N20" s="38"/>
      <c r="O20" s="39"/>
      <c r="P20" s="38"/>
      <c r="Q20" s="39"/>
      <c r="R20" s="38"/>
      <c r="S20" s="40"/>
    </row>
    <row r="21" spans="1:19" x14ac:dyDescent="0.25">
      <c r="A21" s="34" t="str">
        <f>IF(B21="","",MAX($A$1:$A20)+1)</f>
        <v/>
      </c>
      <c r="B21" s="35"/>
      <c r="C21" s="36" t="str">
        <f t="shared" si="0"/>
        <v/>
      </c>
      <c r="D21" s="50" t="str">
        <f t="shared" si="1"/>
        <v/>
      </c>
      <c r="E21" s="37"/>
      <c r="F21" s="38"/>
      <c r="G21" s="50" t="str">
        <f>IF(F21="","",INDEX(Tables!E:E,MATCH(F21,Tables!F:F,0)))</f>
        <v/>
      </c>
      <c r="H21" s="38"/>
      <c r="I21" s="39"/>
      <c r="J21" s="38"/>
      <c r="K21" s="39"/>
      <c r="L21" s="38"/>
      <c r="M21" s="39"/>
      <c r="N21" s="38"/>
      <c r="O21" s="39"/>
      <c r="P21" s="38"/>
      <c r="Q21" s="39"/>
      <c r="R21" s="38"/>
      <c r="S21" s="40"/>
    </row>
    <row r="22" spans="1:19" x14ac:dyDescent="0.25">
      <c r="A22" s="34" t="str">
        <f>IF(B22="","",MAX($A$1:$A21)+1)</f>
        <v/>
      </c>
      <c r="B22" s="35"/>
      <c r="C22" s="36" t="str">
        <f t="shared" si="0"/>
        <v/>
      </c>
      <c r="D22" s="50" t="str">
        <f t="shared" si="1"/>
        <v/>
      </c>
      <c r="E22" s="37"/>
      <c r="F22" s="38"/>
      <c r="G22" s="50" t="str">
        <f>IF(F22="","",INDEX(Tables!E:E,MATCH(F22,Tables!F:F,0)))</f>
        <v/>
      </c>
      <c r="H22" s="38"/>
      <c r="I22" s="39"/>
      <c r="J22" s="38"/>
      <c r="K22" s="39"/>
      <c r="L22" s="38"/>
      <c r="M22" s="39"/>
      <c r="N22" s="38"/>
      <c r="O22" s="39"/>
      <c r="P22" s="38"/>
      <c r="Q22" s="39"/>
      <c r="R22" s="38"/>
      <c r="S22" s="40"/>
    </row>
    <row r="23" spans="1:19" x14ac:dyDescent="0.25">
      <c r="A23" s="34" t="str">
        <f>IF(B23="","",MAX($A$1:$A22)+1)</f>
        <v/>
      </c>
      <c r="B23" s="35"/>
      <c r="C23" s="36" t="str">
        <f t="shared" si="0"/>
        <v/>
      </c>
      <c r="D23" s="50" t="str">
        <f t="shared" si="1"/>
        <v/>
      </c>
      <c r="E23" s="37"/>
      <c r="F23" s="38"/>
      <c r="G23" s="50" t="str">
        <f>IF(F23="","",INDEX(Tables!E:E,MATCH(F23,Tables!F:F,0)))</f>
        <v/>
      </c>
      <c r="H23" s="38"/>
      <c r="I23" s="39"/>
      <c r="J23" s="38"/>
      <c r="K23" s="39"/>
      <c r="L23" s="38"/>
      <c r="M23" s="39"/>
      <c r="N23" s="38"/>
      <c r="O23" s="39"/>
      <c r="P23" s="38"/>
      <c r="Q23" s="39"/>
      <c r="R23" s="38"/>
      <c r="S23" s="40"/>
    </row>
    <row r="24" spans="1:19" x14ac:dyDescent="0.25">
      <c r="A24" s="34" t="str">
        <f>IF(B24="","",MAX($A$1:$A23)+1)</f>
        <v/>
      </c>
      <c r="B24" s="35"/>
      <c r="C24" s="36" t="str">
        <f t="shared" si="0"/>
        <v/>
      </c>
      <c r="D24" s="50" t="str">
        <f t="shared" si="1"/>
        <v/>
      </c>
      <c r="E24" s="37"/>
      <c r="F24" s="38"/>
      <c r="G24" s="50" t="str">
        <f>IF(F24="","",INDEX(Tables!E:E,MATCH(F24,Tables!F:F,0)))</f>
        <v/>
      </c>
      <c r="H24" s="38"/>
      <c r="I24" s="39"/>
      <c r="J24" s="38"/>
      <c r="K24" s="39"/>
      <c r="L24" s="38"/>
      <c r="M24" s="39"/>
      <c r="N24" s="38"/>
      <c r="O24" s="39"/>
      <c r="P24" s="38"/>
      <c r="Q24" s="39"/>
      <c r="R24" s="38"/>
      <c r="S24" s="40"/>
    </row>
    <row r="25" spans="1:19" x14ac:dyDescent="0.25">
      <c r="A25" s="34" t="str">
        <f>IF(B25="","",MAX($A$1:$A24)+1)</f>
        <v/>
      </c>
      <c r="B25" s="35"/>
      <c r="C25" s="36" t="str">
        <f t="shared" si="0"/>
        <v/>
      </c>
      <c r="D25" s="50" t="str">
        <f t="shared" si="1"/>
        <v/>
      </c>
      <c r="E25" s="37"/>
      <c r="F25" s="38"/>
      <c r="G25" s="50" t="str">
        <f>IF(F25="","",INDEX(Tables!E:E,MATCH(F25,Tables!F:F,0)))</f>
        <v/>
      </c>
      <c r="H25" s="38"/>
      <c r="I25" s="39"/>
      <c r="J25" s="38"/>
      <c r="K25" s="39"/>
      <c r="L25" s="38"/>
      <c r="M25" s="39"/>
      <c r="N25" s="38"/>
      <c r="O25" s="39"/>
      <c r="P25" s="38"/>
      <c r="Q25" s="39"/>
      <c r="R25" s="38"/>
      <c r="S25" s="40"/>
    </row>
    <row r="26" spans="1:19" x14ac:dyDescent="0.25">
      <c r="A26" s="34" t="str">
        <f>IF(B26="","",MAX($A$1:$A25)+1)</f>
        <v/>
      </c>
      <c r="B26" s="35"/>
      <c r="C26" s="36" t="str">
        <f t="shared" si="0"/>
        <v/>
      </c>
      <c r="D26" s="50" t="str">
        <f t="shared" si="1"/>
        <v/>
      </c>
      <c r="E26" s="37"/>
      <c r="F26" s="38"/>
      <c r="G26" s="50" t="str">
        <f>IF(F26="","",INDEX(Tables!E:E,MATCH(F26,Tables!F:F,0)))</f>
        <v/>
      </c>
      <c r="H26" s="38"/>
      <c r="I26" s="39"/>
      <c r="J26" s="38"/>
      <c r="K26" s="39"/>
      <c r="L26" s="38"/>
      <c r="M26" s="39"/>
      <c r="N26" s="38"/>
      <c r="O26" s="39"/>
      <c r="P26" s="38"/>
      <c r="Q26" s="39"/>
      <c r="R26" s="38"/>
      <c r="S26" s="40"/>
    </row>
    <row r="27" spans="1:19" x14ac:dyDescent="0.25">
      <c r="A27" s="34" t="str">
        <f>IF(B27="","",MAX($A$1:$A26)+1)</f>
        <v/>
      </c>
      <c r="B27" s="35"/>
      <c r="C27" s="36" t="str">
        <f t="shared" si="0"/>
        <v/>
      </c>
      <c r="D27" s="50" t="str">
        <f t="shared" si="1"/>
        <v/>
      </c>
      <c r="E27" s="37"/>
      <c r="F27" s="38"/>
      <c r="G27" s="50" t="str">
        <f>IF(F27="","",INDEX(Tables!E:E,MATCH(F27,Tables!F:F,0)))</f>
        <v/>
      </c>
      <c r="H27" s="38"/>
      <c r="I27" s="39"/>
      <c r="J27" s="38"/>
      <c r="K27" s="39"/>
      <c r="L27" s="38"/>
      <c r="M27" s="39"/>
      <c r="N27" s="38"/>
      <c r="O27" s="39"/>
      <c r="P27" s="38"/>
      <c r="Q27" s="39"/>
      <c r="R27" s="38"/>
      <c r="S27" s="40"/>
    </row>
    <row r="28" spans="1:19" x14ac:dyDescent="0.25">
      <c r="A28" s="34" t="str">
        <f>IF(B28="","",MAX($A$1:$A27)+1)</f>
        <v/>
      </c>
      <c r="B28" s="35"/>
      <c r="C28" s="36" t="str">
        <f t="shared" si="0"/>
        <v/>
      </c>
      <c r="D28" s="50" t="str">
        <f t="shared" si="1"/>
        <v/>
      </c>
      <c r="E28" s="37"/>
      <c r="F28" s="38"/>
      <c r="G28" s="50" t="str">
        <f>IF(F28="","",INDEX(Tables!E:E,MATCH(F28,Tables!F:F,0)))</f>
        <v/>
      </c>
      <c r="H28" s="38"/>
      <c r="I28" s="39"/>
      <c r="J28" s="38"/>
      <c r="K28" s="39"/>
      <c r="L28" s="38"/>
      <c r="M28" s="39"/>
      <c r="N28" s="38"/>
      <c r="O28" s="39"/>
      <c r="P28" s="38"/>
      <c r="Q28" s="39"/>
      <c r="R28" s="38"/>
      <c r="S28" s="40"/>
    </row>
    <row r="29" spans="1:19" x14ac:dyDescent="0.25">
      <c r="A29" s="34" t="str">
        <f>IF(B29="","",MAX($A$1:$A28)+1)</f>
        <v/>
      </c>
      <c r="B29" s="35"/>
      <c r="C29" s="36" t="str">
        <f t="shared" si="0"/>
        <v/>
      </c>
      <c r="D29" s="50" t="str">
        <f t="shared" si="1"/>
        <v/>
      </c>
      <c r="E29" s="37"/>
      <c r="F29" s="38"/>
      <c r="G29" s="50" t="str">
        <f>IF(F29="","",INDEX(Tables!E:E,MATCH(F29,Tables!F:F,0)))</f>
        <v/>
      </c>
      <c r="H29" s="38"/>
      <c r="I29" s="39"/>
      <c r="J29" s="38"/>
      <c r="K29" s="39"/>
      <c r="L29" s="38"/>
      <c r="M29" s="39"/>
      <c r="N29" s="38"/>
      <c r="O29" s="39"/>
      <c r="P29" s="38"/>
      <c r="Q29" s="39"/>
      <c r="R29" s="38"/>
      <c r="S29" s="40"/>
    </row>
    <row r="30" spans="1:19" x14ac:dyDescent="0.25">
      <c r="A30" s="34" t="str">
        <f>IF(B30="","",MAX($A$1:$A29)+1)</f>
        <v/>
      </c>
      <c r="B30" s="35"/>
      <c r="C30" s="36" t="str">
        <f t="shared" si="0"/>
        <v/>
      </c>
      <c r="D30" s="50" t="str">
        <f t="shared" si="1"/>
        <v/>
      </c>
      <c r="E30" s="37"/>
      <c r="F30" s="38"/>
      <c r="G30" s="50" t="str">
        <f>IF(F30="","",INDEX(Tables!E:E,MATCH(F30,Tables!F:F,0)))</f>
        <v/>
      </c>
      <c r="H30" s="38"/>
      <c r="I30" s="39"/>
      <c r="J30" s="38"/>
      <c r="K30" s="39"/>
      <c r="L30" s="38"/>
      <c r="M30" s="39"/>
      <c r="N30" s="38"/>
      <c r="O30" s="39"/>
      <c r="P30" s="38"/>
      <c r="Q30" s="39"/>
      <c r="R30" s="38"/>
      <c r="S30" s="40"/>
    </row>
    <row r="31" spans="1:19" x14ac:dyDescent="0.25">
      <c r="A31" s="34" t="str">
        <f>IF(B31="","",MAX($A$1:$A30)+1)</f>
        <v/>
      </c>
      <c r="B31" s="35"/>
      <c r="C31" s="36" t="str">
        <f t="shared" si="0"/>
        <v/>
      </c>
      <c r="D31" s="50" t="str">
        <f t="shared" si="1"/>
        <v/>
      </c>
      <c r="E31" s="37"/>
      <c r="F31" s="38"/>
      <c r="G31" s="50" t="str">
        <f>IF(F31="","",INDEX(Tables!E:E,MATCH(F31,Tables!F:F,0)))</f>
        <v/>
      </c>
      <c r="H31" s="38"/>
      <c r="I31" s="39"/>
      <c r="J31" s="38"/>
      <c r="K31" s="39"/>
      <c r="L31" s="38"/>
      <c r="M31" s="39"/>
      <c r="N31" s="38"/>
      <c r="O31" s="39"/>
      <c r="P31" s="38"/>
      <c r="Q31" s="39"/>
      <c r="R31" s="38"/>
      <c r="S31" s="40"/>
    </row>
    <row r="32" spans="1:19" x14ac:dyDescent="0.25">
      <c r="A32" s="34" t="str">
        <f>IF(B32="","",MAX($A$1:$A31)+1)</f>
        <v/>
      </c>
      <c r="B32" s="35"/>
      <c r="C32" s="36" t="str">
        <f t="shared" si="0"/>
        <v/>
      </c>
      <c r="D32" s="50" t="str">
        <f t="shared" si="1"/>
        <v/>
      </c>
      <c r="E32" s="37"/>
      <c r="F32" s="38"/>
      <c r="G32" s="50" t="str">
        <f>IF(F32="","",INDEX(Tables!E:E,MATCH(F32,Tables!F:F,0)))</f>
        <v/>
      </c>
      <c r="H32" s="38"/>
      <c r="I32" s="39"/>
      <c r="J32" s="38"/>
      <c r="K32" s="39"/>
      <c r="L32" s="38"/>
      <c r="M32" s="39"/>
      <c r="N32" s="38"/>
      <c r="O32" s="39"/>
      <c r="P32" s="38"/>
      <c r="Q32" s="39"/>
      <c r="R32" s="38"/>
      <c r="S32" s="40"/>
    </row>
    <row r="33" spans="1:19" x14ac:dyDescent="0.25">
      <c r="A33" s="34" t="str">
        <f>IF(B33="","",MAX($A$1:$A32)+1)</f>
        <v/>
      </c>
      <c r="B33" s="35"/>
      <c r="C33" s="36" t="str">
        <f t="shared" si="0"/>
        <v/>
      </c>
      <c r="D33" s="50" t="str">
        <f t="shared" si="1"/>
        <v/>
      </c>
      <c r="E33" s="37"/>
      <c r="F33" s="38"/>
      <c r="G33" s="50" t="str">
        <f>IF(F33="","",INDEX(Tables!E:E,MATCH(F33,Tables!F:F,0)))</f>
        <v/>
      </c>
      <c r="H33" s="38"/>
      <c r="I33" s="39"/>
      <c r="J33" s="38"/>
      <c r="K33" s="39"/>
      <c r="L33" s="38"/>
      <c r="M33" s="39"/>
      <c r="N33" s="38"/>
      <c r="O33" s="39"/>
      <c r="P33" s="38"/>
      <c r="Q33" s="39"/>
      <c r="R33" s="38"/>
      <c r="S33" s="40"/>
    </row>
    <row r="34" spans="1:19" x14ac:dyDescent="0.25">
      <c r="A34" s="34" t="str">
        <f>IF(B34="","",MAX($A$1:$A33)+1)</f>
        <v/>
      </c>
      <c r="B34" s="35"/>
      <c r="C34" s="36" t="str">
        <f t="shared" si="0"/>
        <v/>
      </c>
      <c r="D34" s="50" t="str">
        <f t="shared" si="1"/>
        <v/>
      </c>
      <c r="E34" s="37"/>
      <c r="F34" s="38"/>
      <c r="G34" s="50" t="str">
        <f>IF(F34="","",INDEX(Tables!E:E,MATCH(F34,Tables!F:F,0)))</f>
        <v/>
      </c>
      <c r="H34" s="38"/>
      <c r="I34" s="39"/>
      <c r="J34" s="38"/>
      <c r="K34" s="39"/>
      <c r="L34" s="38"/>
      <c r="M34" s="39"/>
      <c r="N34" s="38"/>
      <c r="O34" s="39"/>
      <c r="P34" s="38"/>
      <c r="Q34" s="39"/>
      <c r="R34" s="38"/>
      <c r="S34" s="40"/>
    </row>
    <row r="35" spans="1:19" x14ac:dyDescent="0.25">
      <c r="A35" s="34" t="str">
        <f>IF(B35="","",MAX($A$1:$A34)+1)</f>
        <v/>
      </c>
      <c r="B35" s="35"/>
      <c r="C35" s="36" t="str">
        <f t="shared" si="0"/>
        <v/>
      </c>
      <c r="D35" s="50" t="str">
        <f t="shared" si="1"/>
        <v/>
      </c>
      <c r="E35" s="37"/>
      <c r="F35" s="38"/>
      <c r="G35" s="50" t="str">
        <f>IF(F35="","",INDEX(Tables!E:E,MATCH(F35,Tables!F:F,0)))</f>
        <v/>
      </c>
      <c r="H35" s="38"/>
      <c r="I35" s="39"/>
      <c r="J35" s="38"/>
      <c r="K35" s="39"/>
      <c r="L35" s="38"/>
      <c r="M35" s="39"/>
      <c r="N35" s="38"/>
      <c r="O35" s="39"/>
      <c r="P35" s="38"/>
      <c r="Q35" s="39"/>
      <c r="R35" s="38"/>
      <c r="S35" s="40"/>
    </row>
    <row r="36" spans="1:19" x14ac:dyDescent="0.25">
      <c r="A36" s="34" t="str">
        <f>IF(B36="","",MAX($A$1:$A35)+1)</f>
        <v/>
      </c>
      <c r="B36" s="35"/>
      <c r="C36" s="36" t="str">
        <f t="shared" si="0"/>
        <v/>
      </c>
      <c r="D36" s="50" t="str">
        <f t="shared" si="1"/>
        <v/>
      </c>
      <c r="E36" s="37"/>
      <c r="F36" s="38"/>
      <c r="G36" s="50" t="str">
        <f>IF(F36="","",INDEX(Tables!E:E,MATCH(F36,Tables!F:F,0)))</f>
        <v/>
      </c>
      <c r="H36" s="38"/>
      <c r="I36" s="39"/>
      <c r="J36" s="38"/>
      <c r="K36" s="39"/>
      <c r="L36" s="38"/>
      <c r="M36" s="39"/>
      <c r="N36" s="38"/>
      <c r="O36" s="39"/>
      <c r="P36" s="38"/>
      <c r="Q36" s="39"/>
      <c r="R36" s="38"/>
      <c r="S36" s="40"/>
    </row>
    <row r="37" spans="1:19" x14ac:dyDescent="0.25">
      <c r="A37" s="34" t="str">
        <f>IF(B37="","",MAX($A$1:$A36)+1)</f>
        <v/>
      </c>
      <c r="B37" s="35"/>
      <c r="C37" s="36" t="str">
        <f t="shared" si="0"/>
        <v/>
      </c>
      <c r="D37" s="50" t="str">
        <f t="shared" si="1"/>
        <v/>
      </c>
      <c r="E37" s="37"/>
      <c r="F37" s="38"/>
      <c r="G37" s="50" t="str">
        <f>IF(F37="","",INDEX(Tables!E:E,MATCH(F37,Tables!F:F,0)))</f>
        <v/>
      </c>
      <c r="H37" s="38"/>
      <c r="I37" s="39"/>
      <c r="J37" s="38"/>
      <c r="K37" s="39"/>
      <c r="L37" s="38"/>
      <c r="M37" s="39"/>
      <c r="N37" s="38"/>
      <c r="O37" s="39"/>
      <c r="P37" s="38"/>
      <c r="Q37" s="39"/>
      <c r="R37" s="38"/>
      <c r="S37" s="40"/>
    </row>
    <row r="38" spans="1:19" x14ac:dyDescent="0.25">
      <c r="A38" s="34" t="str">
        <f>IF(B38="","",MAX($A$1:$A37)+1)</f>
        <v/>
      </c>
      <c r="B38" s="35"/>
      <c r="C38" s="36" t="str">
        <f t="shared" si="0"/>
        <v/>
      </c>
      <c r="D38" s="50" t="str">
        <f t="shared" si="1"/>
        <v/>
      </c>
      <c r="E38" s="37"/>
      <c r="F38" s="38"/>
      <c r="G38" s="50" t="str">
        <f>IF(F38="","",INDEX(Tables!E:E,MATCH(F38,Tables!F:F,0)))</f>
        <v/>
      </c>
      <c r="H38" s="38"/>
      <c r="I38" s="39"/>
      <c r="J38" s="38"/>
      <c r="K38" s="39"/>
      <c r="L38" s="38"/>
      <c r="M38" s="39"/>
      <c r="N38" s="38"/>
      <c r="O38" s="39"/>
      <c r="P38" s="38"/>
      <c r="Q38" s="39"/>
      <c r="R38" s="38"/>
      <c r="S38" s="40"/>
    </row>
    <row r="39" spans="1:19" x14ac:dyDescent="0.25">
      <c r="A39" s="34" t="str">
        <f>IF(B39="","",MAX($A$1:$A38)+1)</f>
        <v/>
      </c>
      <c r="B39" s="35"/>
      <c r="C39" s="36" t="str">
        <f t="shared" si="0"/>
        <v/>
      </c>
      <c r="D39" s="50" t="str">
        <f t="shared" si="1"/>
        <v/>
      </c>
      <c r="E39" s="37"/>
      <c r="F39" s="38"/>
      <c r="G39" s="50" t="str">
        <f>IF(F39="","",INDEX(Tables!E:E,MATCH(F39,Tables!F:F,0)))</f>
        <v/>
      </c>
      <c r="H39" s="38"/>
      <c r="I39" s="39"/>
      <c r="J39" s="38"/>
      <c r="K39" s="39"/>
      <c r="L39" s="38"/>
      <c r="M39" s="39"/>
      <c r="N39" s="38"/>
      <c r="O39" s="39"/>
      <c r="P39" s="38"/>
      <c r="Q39" s="39"/>
      <c r="R39" s="38"/>
      <c r="S39" s="40"/>
    </row>
    <row r="40" spans="1:19" x14ac:dyDescent="0.25">
      <c r="A40" s="34" t="str">
        <f>IF(B40="","",MAX($A$1:$A39)+1)</f>
        <v/>
      </c>
      <c r="B40" s="35"/>
      <c r="C40" s="36" t="str">
        <f t="shared" si="0"/>
        <v/>
      </c>
      <c r="D40" s="50" t="str">
        <f t="shared" si="1"/>
        <v/>
      </c>
      <c r="E40" s="37"/>
      <c r="F40" s="38"/>
      <c r="G40" s="50" t="str">
        <f>IF(F40="","",INDEX(Tables!E:E,MATCH(F40,Tables!F:F,0)))</f>
        <v/>
      </c>
      <c r="H40" s="38"/>
      <c r="I40" s="39"/>
      <c r="J40" s="38"/>
      <c r="K40" s="39"/>
      <c r="L40" s="38"/>
      <c r="M40" s="39"/>
      <c r="N40" s="38"/>
      <c r="O40" s="39"/>
      <c r="P40" s="38"/>
      <c r="Q40" s="39"/>
      <c r="R40" s="38"/>
      <c r="S40" s="40"/>
    </row>
    <row r="41" spans="1:19" x14ac:dyDescent="0.25">
      <c r="A41" s="34" t="str">
        <f>IF(B41="","",MAX($A$1:$A40)+1)</f>
        <v/>
      </c>
      <c r="B41" s="35"/>
      <c r="C41" s="36" t="str">
        <f t="shared" si="0"/>
        <v/>
      </c>
      <c r="D41" s="50" t="str">
        <f t="shared" si="1"/>
        <v/>
      </c>
      <c r="E41" s="37"/>
      <c r="F41" s="38"/>
      <c r="G41" s="50" t="str">
        <f>IF(F41="","",INDEX(Tables!E:E,MATCH(F41,Tables!F:F,0)))</f>
        <v/>
      </c>
      <c r="H41" s="38"/>
      <c r="I41" s="39"/>
      <c r="J41" s="38"/>
      <c r="K41" s="39"/>
      <c r="L41" s="38"/>
      <c r="M41" s="39"/>
      <c r="N41" s="38"/>
      <c r="O41" s="39"/>
      <c r="P41" s="38"/>
      <c r="Q41" s="39"/>
      <c r="R41" s="38"/>
      <c r="S41" s="40"/>
    </row>
    <row r="42" spans="1:19" x14ac:dyDescent="0.25">
      <c r="A42" s="34" t="str">
        <f>IF(B42="","",MAX($A$1:$A41)+1)</f>
        <v/>
      </c>
      <c r="B42" s="35"/>
      <c r="C42" s="36" t="str">
        <f t="shared" si="0"/>
        <v/>
      </c>
      <c r="D42" s="50" t="str">
        <f t="shared" si="1"/>
        <v/>
      </c>
      <c r="E42" s="37"/>
      <c r="F42" s="38"/>
      <c r="G42" s="50" t="str">
        <f>IF(F42="","",INDEX(Tables!E:E,MATCH(F42,Tables!F:F,0)))</f>
        <v/>
      </c>
      <c r="H42" s="38"/>
      <c r="I42" s="39"/>
      <c r="J42" s="38"/>
      <c r="K42" s="39"/>
      <c r="L42" s="38"/>
      <c r="M42" s="39"/>
      <c r="N42" s="38"/>
      <c r="O42" s="39"/>
      <c r="P42" s="38"/>
      <c r="Q42" s="39"/>
      <c r="R42" s="38"/>
      <c r="S42" s="40"/>
    </row>
    <row r="43" spans="1:19" x14ac:dyDescent="0.25">
      <c r="A43" s="34" t="str">
        <f>IF(B43="","",MAX($A$1:$A42)+1)</f>
        <v/>
      </c>
      <c r="B43" s="35"/>
      <c r="C43" s="36" t="str">
        <f t="shared" si="0"/>
        <v/>
      </c>
      <c r="D43" s="50" t="str">
        <f t="shared" si="1"/>
        <v/>
      </c>
      <c r="E43" s="37"/>
      <c r="F43" s="38"/>
      <c r="G43" s="50" t="str">
        <f>IF(F43="","",INDEX(Tables!E:E,MATCH(F43,Tables!F:F,0)))</f>
        <v/>
      </c>
      <c r="H43" s="38"/>
      <c r="I43" s="39"/>
      <c r="J43" s="38"/>
      <c r="K43" s="39"/>
      <c r="L43" s="38"/>
      <c r="M43" s="39"/>
      <c r="N43" s="38"/>
      <c r="O43" s="39"/>
      <c r="P43" s="38"/>
      <c r="Q43" s="39"/>
      <c r="R43" s="38"/>
      <c r="S43" s="40"/>
    </row>
    <row r="44" spans="1:19" x14ac:dyDescent="0.25">
      <c r="A44" s="34" t="str">
        <f>IF(B44="","",MAX($A$1:$A43)+1)</f>
        <v/>
      </c>
      <c r="B44" s="35"/>
      <c r="C44" s="36" t="str">
        <f t="shared" si="0"/>
        <v/>
      </c>
      <c r="D44" s="50" t="str">
        <f t="shared" si="1"/>
        <v/>
      </c>
      <c r="E44" s="37"/>
      <c r="F44" s="38"/>
      <c r="G44" s="50" t="str">
        <f>IF(F44="","",INDEX(Tables!E:E,MATCH(F44,Tables!F:F,0)))</f>
        <v/>
      </c>
      <c r="H44" s="38"/>
      <c r="I44" s="39"/>
      <c r="J44" s="38"/>
      <c r="K44" s="39"/>
      <c r="L44" s="38"/>
      <c r="M44" s="39"/>
      <c r="N44" s="38"/>
      <c r="O44" s="39"/>
      <c r="P44" s="38"/>
      <c r="Q44" s="39"/>
      <c r="R44" s="38"/>
      <c r="S44" s="40"/>
    </row>
    <row r="45" spans="1:19" x14ac:dyDescent="0.25">
      <c r="A45" s="34" t="str">
        <f>IF(B45="","",MAX($A$1:$A44)+1)</f>
        <v/>
      </c>
      <c r="B45" s="35"/>
      <c r="C45" s="36" t="str">
        <f t="shared" si="0"/>
        <v/>
      </c>
      <c r="D45" s="50" t="str">
        <f t="shared" si="1"/>
        <v/>
      </c>
      <c r="E45" s="37"/>
      <c r="F45" s="38"/>
      <c r="G45" s="50" t="str">
        <f>IF(F45="","",INDEX(Tables!E:E,MATCH(F45,Tables!F:F,0)))</f>
        <v/>
      </c>
      <c r="H45" s="38"/>
      <c r="I45" s="39"/>
      <c r="J45" s="38"/>
      <c r="K45" s="39"/>
      <c r="L45" s="38"/>
      <c r="M45" s="39"/>
      <c r="N45" s="38"/>
      <c r="O45" s="39"/>
      <c r="P45" s="38"/>
      <c r="Q45" s="39"/>
      <c r="R45" s="38"/>
      <c r="S45" s="40"/>
    </row>
    <row r="46" spans="1:19" x14ac:dyDescent="0.25">
      <c r="A46" s="34" t="str">
        <f>IF(B46="","",MAX($A$1:$A45)+1)</f>
        <v/>
      </c>
      <c r="B46" s="35"/>
      <c r="C46" s="36" t="str">
        <f t="shared" si="0"/>
        <v/>
      </c>
      <c r="D46" s="50" t="str">
        <f t="shared" si="1"/>
        <v/>
      </c>
      <c r="E46" s="37"/>
      <c r="F46" s="38"/>
      <c r="G46" s="50" t="str">
        <f>IF(F46="","",INDEX(Tables!E:E,MATCH(F46,Tables!F:F,0)))</f>
        <v/>
      </c>
      <c r="H46" s="38"/>
      <c r="I46" s="39"/>
      <c r="J46" s="38"/>
      <c r="K46" s="39"/>
      <c r="L46" s="38"/>
      <c r="M46" s="39"/>
      <c r="N46" s="38"/>
      <c r="O46" s="39"/>
      <c r="P46" s="38"/>
      <c r="Q46" s="39"/>
      <c r="R46" s="38"/>
      <c r="S46" s="40"/>
    </row>
    <row r="47" spans="1:19" x14ac:dyDescent="0.25">
      <c r="A47" s="34" t="str">
        <f>IF(B47="","",MAX($A$1:$A46)+1)</f>
        <v/>
      </c>
      <c r="B47" s="35"/>
      <c r="C47" s="36" t="str">
        <f t="shared" si="0"/>
        <v/>
      </c>
      <c r="D47" s="50" t="str">
        <f t="shared" si="1"/>
        <v/>
      </c>
      <c r="E47" s="37"/>
      <c r="F47" s="38"/>
      <c r="G47" s="50" t="str">
        <f>IF(F47="","",INDEX(Tables!E:E,MATCH(F47,Tables!F:F,0)))</f>
        <v/>
      </c>
      <c r="H47" s="38"/>
      <c r="I47" s="39"/>
      <c r="J47" s="38"/>
      <c r="K47" s="39"/>
      <c r="L47" s="38"/>
      <c r="M47" s="39"/>
      <c r="N47" s="38"/>
      <c r="O47" s="39"/>
      <c r="P47" s="38"/>
      <c r="Q47" s="39"/>
      <c r="R47" s="38"/>
      <c r="S47" s="40"/>
    </row>
    <row r="48" spans="1:19" x14ac:dyDescent="0.25">
      <c r="A48" s="34" t="str">
        <f>IF(B48="","",MAX($A$1:$A47)+1)</f>
        <v/>
      </c>
      <c r="B48" s="35"/>
      <c r="C48" s="36" t="str">
        <f t="shared" si="0"/>
        <v/>
      </c>
      <c r="D48" s="50" t="str">
        <f t="shared" si="1"/>
        <v/>
      </c>
      <c r="E48" s="37"/>
      <c r="F48" s="38"/>
      <c r="G48" s="50" t="str">
        <f>IF(F48="","",INDEX(Tables!E:E,MATCH(F48,Tables!F:F,0)))</f>
        <v/>
      </c>
      <c r="H48" s="38"/>
      <c r="I48" s="39"/>
      <c r="J48" s="38"/>
      <c r="K48" s="39"/>
      <c r="L48" s="38"/>
      <c r="M48" s="39"/>
      <c r="N48" s="38"/>
      <c r="O48" s="39"/>
      <c r="P48" s="38"/>
      <c r="Q48" s="39"/>
      <c r="R48" s="38"/>
      <c r="S48" s="40"/>
    </row>
    <row r="49" spans="1:19" x14ac:dyDescent="0.25">
      <c r="A49" s="34" t="str">
        <f>IF(B49="","",MAX($A$1:$A48)+1)</f>
        <v/>
      </c>
      <c r="B49" s="35"/>
      <c r="C49" s="36" t="str">
        <f t="shared" si="0"/>
        <v/>
      </c>
      <c r="D49" s="50" t="str">
        <f t="shared" si="1"/>
        <v/>
      </c>
      <c r="E49" s="37"/>
      <c r="F49" s="38"/>
      <c r="G49" s="50" t="str">
        <f>IF(F49="","",INDEX(Tables!E:E,MATCH(F49,Tables!F:F,0)))</f>
        <v/>
      </c>
      <c r="H49" s="38"/>
      <c r="I49" s="39"/>
      <c r="J49" s="38"/>
      <c r="K49" s="39"/>
      <c r="L49" s="38"/>
      <c r="M49" s="39"/>
      <c r="N49" s="38"/>
      <c r="O49" s="39"/>
      <c r="P49" s="38"/>
      <c r="Q49" s="39"/>
      <c r="R49" s="38"/>
      <c r="S49" s="40"/>
    </row>
    <row r="50" spans="1:19" ht="15.75" thickBot="1" x14ac:dyDescent="0.3">
      <c r="A50" s="41" t="str">
        <f>IF(B50="","",MAX($A$1:$A49)+1)</f>
        <v/>
      </c>
      <c r="B50" s="42"/>
      <c r="C50" s="36" t="str">
        <f t="shared" si="0"/>
        <v/>
      </c>
      <c r="D50" s="50" t="str">
        <f t="shared" si="1"/>
        <v/>
      </c>
      <c r="E50" s="43"/>
      <c r="F50" s="44"/>
      <c r="G50" s="50" t="str">
        <f>IF(F50="","",INDEX(Tables!E:E,MATCH(F50,Tables!F:F,0)))</f>
        <v/>
      </c>
      <c r="H50" s="44"/>
      <c r="I50" s="45"/>
      <c r="J50" s="44"/>
      <c r="K50" s="45"/>
      <c r="L50" s="44"/>
      <c r="M50" s="45"/>
      <c r="N50" s="44"/>
      <c r="O50" s="45"/>
      <c r="P50" s="44"/>
      <c r="Q50" s="45"/>
      <c r="R50" s="44"/>
      <c r="S50" s="46"/>
    </row>
  </sheetData>
  <phoneticPr fontId="4" type="noConversion"/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BC8087-12D6-46AE-AB2E-D6D01B12F938}">
          <x14:formula1>
            <xm:f>Tables!$F:$F</xm:f>
          </x14:formula1>
          <xm:sqref>F2:F1048576</xm:sqref>
        </x14:dataValidation>
        <x14:dataValidation type="list" allowBlank="1" showInputMessage="1" showErrorMessage="1" xr:uid="{C78584C2-D28F-46FC-A982-0BBAD00DD832}">
          <x14:formula1>
            <xm:f>OFFSET(Fields!$F$1,MATCH($F2,Fields!$B:$B,0)-1,,COUNTIF(Fields!$B:$B,$F2))</xm:f>
          </x14:formula1>
          <xm:sqref>R2:R1048576 J2:J1048576 L2:L1048576 N2:N1048576 P2:P1048576 H2:H1048576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C10E3-938C-4785-89C4-2C771A25260E}">
  <sheetPr codeName="plnEnumerate"/>
  <dimension ref="A1:R30"/>
  <sheetViews>
    <sheetView zoomScale="70" zoomScaleNormal="7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24" sqref="E24"/>
    </sheetView>
  </sheetViews>
  <sheetFormatPr defaultRowHeight="15" x14ac:dyDescent="0.25"/>
  <cols>
    <col min="1" max="1" width="2" style="57" bestFit="1" customWidth="1"/>
    <col min="2" max="2" width="20.140625" style="19" bestFit="1" customWidth="1"/>
    <col min="3" max="3" width="39.85546875" style="19" customWidth="1"/>
    <col min="4" max="4" width="13.85546875" style="19" bestFit="1" customWidth="1"/>
    <col min="5" max="5" width="9.140625" style="56"/>
    <col min="7" max="7" width="20.140625" style="58" bestFit="1" customWidth="1"/>
    <col min="8" max="8" width="2.85546875" style="56" bestFit="1" customWidth="1"/>
    <col min="9" max="9" width="15.42578125" style="19" bestFit="1" customWidth="1"/>
    <col min="10" max="10" width="11.140625" style="19" bestFit="1" customWidth="1"/>
    <col min="11" max="11" width="17.28515625" style="19" bestFit="1" customWidth="1"/>
    <col min="12" max="18" width="9.140625" style="19"/>
  </cols>
  <sheetData>
    <row r="1" spans="1:18" s="3" customFormat="1" x14ac:dyDescent="0.25">
      <c r="A1" s="56" t="s">
        <v>0</v>
      </c>
      <c r="B1" s="56" t="s">
        <v>485</v>
      </c>
      <c r="C1" s="56" t="s">
        <v>47</v>
      </c>
      <c r="D1" s="56" t="s">
        <v>486</v>
      </c>
      <c r="E1" s="56" t="s">
        <v>533</v>
      </c>
      <c r="G1" s="56" t="s">
        <v>161</v>
      </c>
      <c r="H1" s="56" t="s">
        <v>414</v>
      </c>
      <c r="I1" s="56" t="s">
        <v>487</v>
      </c>
      <c r="J1" s="56" t="s">
        <v>488</v>
      </c>
      <c r="K1" s="56" t="s">
        <v>489</v>
      </c>
      <c r="L1" s="56" t="s">
        <v>490</v>
      </c>
      <c r="M1" s="56" t="s">
        <v>491</v>
      </c>
      <c r="N1" s="56" t="s">
        <v>492</v>
      </c>
      <c r="O1" s="56" t="s">
        <v>493</v>
      </c>
      <c r="P1" s="56" t="s">
        <v>494</v>
      </c>
      <c r="Q1" s="56" t="s">
        <v>495</v>
      </c>
      <c r="R1" s="56" t="s">
        <v>496</v>
      </c>
    </row>
    <row r="2" spans="1:18" x14ac:dyDescent="0.25">
      <c r="A2" s="57">
        <f>IF(B2="","",MAX($A$1:$A1)+1)</f>
        <v>1</v>
      </c>
      <c r="B2" s="19" t="s">
        <v>57</v>
      </c>
      <c r="C2" s="19" t="s">
        <v>497</v>
      </c>
      <c r="D2" s="19" t="s">
        <v>150</v>
      </c>
      <c r="E2" s="56">
        <f>IF(B2="","",COUNTIF(G:G,B2))</f>
        <v>6</v>
      </c>
      <c r="G2" s="58" t="s">
        <v>57</v>
      </c>
      <c r="H2" s="56">
        <f>IF(G2="","",COUNTIF($G$1:$G1,G2))</f>
        <v>0</v>
      </c>
      <c r="I2" s="19" t="s">
        <v>514</v>
      </c>
    </row>
    <row r="3" spans="1:18" x14ac:dyDescent="0.25">
      <c r="A3" s="57">
        <f>IF(B3="","",MAX($A$1:$A2)+1)</f>
        <v>2</v>
      </c>
      <c r="B3" s="19" t="s">
        <v>58</v>
      </c>
      <c r="C3" s="19" t="s">
        <v>498</v>
      </c>
      <c r="D3" s="19" t="s">
        <v>150</v>
      </c>
      <c r="E3" s="56">
        <f t="shared" ref="E3:E20" si="0">IF(B3="","",COUNTIF(G:G,B3))</f>
        <v>3</v>
      </c>
      <c r="G3" s="58" t="s">
        <v>57</v>
      </c>
      <c r="H3" s="56">
        <f>IF(G3="","",COUNTIF($G$1:$G2,G3))</f>
        <v>1</v>
      </c>
      <c r="I3" s="19" t="s">
        <v>515</v>
      </c>
    </row>
    <row r="4" spans="1:18" x14ac:dyDescent="0.25">
      <c r="A4" s="57">
        <f>IF(B4="","",MAX($A$1:$A3)+1)</f>
        <v>3</v>
      </c>
      <c r="B4" s="19" t="s">
        <v>500</v>
      </c>
      <c r="C4" s="19" t="s">
        <v>499</v>
      </c>
      <c r="D4" s="19" t="s">
        <v>150</v>
      </c>
      <c r="E4" s="56">
        <f t="shared" si="0"/>
        <v>7</v>
      </c>
      <c r="G4" s="58" t="s">
        <v>57</v>
      </c>
      <c r="H4" s="56">
        <f>IF(G4="","",COUNTIF($G$1:$G3,G4))</f>
        <v>2</v>
      </c>
      <c r="I4" s="19" t="s">
        <v>516</v>
      </c>
    </row>
    <row r="5" spans="1:18" x14ac:dyDescent="0.25">
      <c r="A5" s="57">
        <f>IF(B5="","",MAX($A$1:$A4)+1)</f>
        <v>4</v>
      </c>
      <c r="B5" s="19" t="s">
        <v>503</v>
      </c>
      <c r="C5" s="19" t="s">
        <v>501</v>
      </c>
      <c r="D5" s="19" t="s">
        <v>552</v>
      </c>
      <c r="E5" s="56">
        <f>IF(B5="","",COUNTIF(G:G,B5))</f>
        <v>6</v>
      </c>
      <c r="G5" s="58" t="s">
        <v>57</v>
      </c>
      <c r="H5" s="56">
        <f>IF(G5="","",COUNTIF($G$1:$G4,G5))</f>
        <v>3</v>
      </c>
      <c r="I5" s="19" t="s">
        <v>517</v>
      </c>
    </row>
    <row r="6" spans="1:18" x14ac:dyDescent="0.25">
      <c r="A6" s="57">
        <f>IF(B6="","",MAX($A$1:$A5)+1)</f>
        <v>5</v>
      </c>
      <c r="B6" s="19" t="s">
        <v>512</v>
      </c>
      <c r="C6" s="19" t="s">
        <v>504</v>
      </c>
      <c r="E6" s="56">
        <f>IF(B6="","",COUNTIF(G:G,B6))</f>
        <v>3</v>
      </c>
      <c r="G6" s="58" t="s">
        <v>57</v>
      </c>
      <c r="H6" s="56">
        <f>IF(G6="","",COUNTIF($G$1:$G5,G6))</f>
        <v>4</v>
      </c>
      <c r="I6" s="19" t="s">
        <v>518</v>
      </c>
    </row>
    <row r="7" spans="1:18" x14ac:dyDescent="0.25">
      <c r="A7" s="57" t="str">
        <f>IF(B7="","",MAX($A$1:$A6)+1)</f>
        <v/>
      </c>
      <c r="C7" s="19" t="s">
        <v>513</v>
      </c>
      <c r="E7" s="56" t="str">
        <f t="shared" si="0"/>
        <v/>
      </c>
      <c r="G7" s="58" t="s">
        <v>57</v>
      </c>
      <c r="H7" s="56">
        <f>IF(G7="","",COUNTIF($G$1:$G6,G7))</f>
        <v>5</v>
      </c>
      <c r="I7" s="19" t="s">
        <v>519</v>
      </c>
    </row>
    <row r="8" spans="1:18" x14ac:dyDescent="0.25">
      <c r="A8" s="57" t="str">
        <f>IF(B8="","",MAX($A$1:$A7)+1)</f>
        <v/>
      </c>
      <c r="E8" s="56" t="str">
        <f t="shared" si="0"/>
        <v/>
      </c>
      <c r="G8" s="58" t="s">
        <v>58</v>
      </c>
      <c r="H8" s="56">
        <f>IF(G8="","",COUNTIF($G$1:$G7,G8))</f>
        <v>0</v>
      </c>
      <c r="I8" s="19" t="s">
        <v>520</v>
      </c>
    </row>
    <row r="9" spans="1:18" x14ac:dyDescent="0.25">
      <c r="A9" s="57" t="str">
        <f>IF(B9="","",MAX($A$1:$A8)+1)</f>
        <v/>
      </c>
      <c r="E9" s="56" t="str">
        <f t="shared" si="0"/>
        <v/>
      </c>
      <c r="G9" s="58" t="s">
        <v>58</v>
      </c>
      <c r="H9" s="56">
        <f>IF(G9="","",COUNTIF($G$1:$G8,G9))</f>
        <v>1</v>
      </c>
      <c r="I9" s="19" t="s">
        <v>521</v>
      </c>
    </row>
    <row r="10" spans="1:18" x14ac:dyDescent="0.25">
      <c r="A10" s="57" t="str">
        <f>IF(B10="","",MAX($A$1:$A9)+1)</f>
        <v/>
      </c>
      <c r="E10" s="56" t="str">
        <f t="shared" si="0"/>
        <v/>
      </c>
      <c r="G10" s="58" t="s">
        <v>58</v>
      </c>
      <c r="H10" s="56">
        <f>IF(G10="","",COUNTIF($G$1:$G9,G10))</f>
        <v>2</v>
      </c>
      <c r="I10" s="19" t="s">
        <v>522</v>
      </c>
    </row>
    <row r="11" spans="1:18" x14ac:dyDescent="0.25">
      <c r="A11" s="57" t="str">
        <f>IF(B11="","",MAX($A$1:$A10)+1)</f>
        <v/>
      </c>
      <c r="E11" s="56" t="str">
        <f t="shared" si="0"/>
        <v/>
      </c>
      <c r="G11" s="58" t="s">
        <v>500</v>
      </c>
      <c r="H11" s="56">
        <f>IF(G11="","",COUNTIF($G$1:$G10,G11))</f>
        <v>0</v>
      </c>
      <c r="I11" s="19" t="s">
        <v>526</v>
      </c>
    </row>
    <row r="12" spans="1:18" x14ac:dyDescent="0.25">
      <c r="A12" s="57" t="str">
        <f>IF(B12="","",MAX($A$1:$A11)+1)</f>
        <v/>
      </c>
      <c r="E12" s="56" t="str">
        <f t="shared" si="0"/>
        <v/>
      </c>
      <c r="G12" s="58" t="s">
        <v>500</v>
      </c>
      <c r="H12" s="56">
        <f>IF(G12="","",COUNTIF($G$1:$G11,G12))</f>
        <v>1</v>
      </c>
      <c r="I12" s="19" t="s">
        <v>527</v>
      </c>
    </row>
    <row r="13" spans="1:18" x14ac:dyDescent="0.25">
      <c r="A13" s="57" t="str">
        <f>IF(B13="","",MAX($A$1:$A12)+1)</f>
        <v/>
      </c>
      <c r="E13" s="56" t="str">
        <f t="shared" si="0"/>
        <v/>
      </c>
      <c r="G13" s="58" t="s">
        <v>500</v>
      </c>
      <c r="H13" s="56">
        <f>IF(G13="","",COUNTIF($G$1:$G12,G13))</f>
        <v>2</v>
      </c>
      <c r="I13" s="19" t="s">
        <v>528</v>
      </c>
    </row>
    <row r="14" spans="1:18" x14ac:dyDescent="0.25">
      <c r="A14" s="57" t="str">
        <f>IF(B14="","",MAX($A$1:$A13)+1)</f>
        <v/>
      </c>
      <c r="E14" s="56" t="str">
        <f t="shared" si="0"/>
        <v/>
      </c>
      <c r="G14" s="58" t="s">
        <v>500</v>
      </c>
      <c r="H14" s="56">
        <f>IF(G14="","",COUNTIF($G$1:$G13,G14))</f>
        <v>3</v>
      </c>
      <c r="I14" s="19" t="s">
        <v>529</v>
      </c>
    </row>
    <row r="15" spans="1:18" x14ac:dyDescent="0.25">
      <c r="A15" s="57" t="str">
        <f>IF(B15="","",MAX($A$1:$A14)+1)</f>
        <v/>
      </c>
      <c r="E15" s="56" t="str">
        <f t="shared" si="0"/>
        <v/>
      </c>
      <c r="G15" s="58" t="s">
        <v>500</v>
      </c>
      <c r="H15" s="56">
        <f>IF(G15="","",COUNTIF($G$1:$G14,G15))</f>
        <v>4</v>
      </c>
      <c r="I15" s="19" t="s">
        <v>530</v>
      </c>
    </row>
    <row r="16" spans="1:18" x14ac:dyDescent="0.25">
      <c r="A16" s="57" t="str">
        <f>IF(B16="","",MAX($A$1:$A15)+1)</f>
        <v/>
      </c>
      <c r="E16" s="56" t="str">
        <f t="shared" si="0"/>
        <v/>
      </c>
      <c r="G16" s="58" t="s">
        <v>500</v>
      </c>
      <c r="H16" s="56">
        <f>IF(G16="","",COUNTIF($G$1:$G15,G16))</f>
        <v>5</v>
      </c>
      <c r="I16" s="19" t="s">
        <v>531</v>
      </c>
    </row>
    <row r="17" spans="1:11" x14ac:dyDescent="0.25">
      <c r="A17" s="57" t="str">
        <f>IF(B17="","",MAX($A$1:$A16)+1)</f>
        <v/>
      </c>
      <c r="E17" s="56" t="str">
        <f t="shared" si="0"/>
        <v/>
      </c>
      <c r="G17" s="58" t="s">
        <v>500</v>
      </c>
      <c r="H17" s="56">
        <f>IF(G17="","",COUNTIF($G$1:$G16,G17))</f>
        <v>6</v>
      </c>
      <c r="I17" s="19" t="s">
        <v>532</v>
      </c>
    </row>
    <row r="18" spans="1:11" x14ac:dyDescent="0.25">
      <c r="A18" s="57" t="str">
        <f>IF(B18="","",MAX($A$1:$A17)+1)</f>
        <v/>
      </c>
      <c r="E18" s="56" t="str">
        <f t="shared" si="0"/>
        <v/>
      </c>
      <c r="G18" s="58" t="s">
        <v>503</v>
      </c>
      <c r="H18" s="56">
        <f>IF(G18="","",COUNTIF($G$1:$G17,G18))</f>
        <v>0</v>
      </c>
      <c r="I18" s="19" t="s">
        <v>534</v>
      </c>
      <c r="J18" s="19" t="s">
        <v>540</v>
      </c>
      <c r="K18" s="19" t="s">
        <v>546</v>
      </c>
    </row>
    <row r="19" spans="1:11" x14ac:dyDescent="0.25">
      <c r="A19" s="57" t="str">
        <f>IF(B19="","",MAX($A$1:$A18)+1)</f>
        <v/>
      </c>
      <c r="E19" s="56" t="str">
        <f t="shared" si="0"/>
        <v/>
      </c>
      <c r="G19" s="58" t="s">
        <v>503</v>
      </c>
      <c r="H19" s="56">
        <f>IF(G19="","",COUNTIF($G$1:$G18,G19))</f>
        <v>1</v>
      </c>
      <c r="I19" s="19" t="s">
        <v>535</v>
      </c>
      <c r="J19" s="19" t="s">
        <v>541</v>
      </c>
      <c r="K19" s="19" t="s">
        <v>547</v>
      </c>
    </row>
    <row r="20" spans="1:11" x14ac:dyDescent="0.25">
      <c r="A20" s="57" t="str">
        <f>IF(B20="","",MAX($A$1:$A19)+1)</f>
        <v/>
      </c>
      <c r="E20" s="56" t="str">
        <f t="shared" si="0"/>
        <v/>
      </c>
      <c r="G20" s="58" t="s">
        <v>503</v>
      </c>
      <c r="H20" s="56">
        <f>IF(G20="","",COUNTIF($G$1:$G19,G20))</f>
        <v>2</v>
      </c>
      <c r="I20" s="19" t="s">
        <v>536</v>
      </c>
      <c r="J20" s="19" t="s">
        <v>542</v>
      </c>
      <c r="K20" s="19" t="s">
        <v>548</v>
      </c>
    </row>
    <row r="21" spans="1:11" x14ac:dyDescent="0.25">
      <c r="A21" s="57" t="str">
        <f>IF(B21="","",MAX($A$1:$A20)+1)</f>
        <v/>
      </c>
      <c r="G21" s="58" t="s">
        <v>503</v>
      </c>
      <c r="H21" s="56">
        <f>IF(G21="","",COUNTIF($G$1:$G20,G21))</f>
        <v>3</v>
      </c>
      <c r="I21" s="19" t="s">
        <v>537</v>
      </c>
      <c r="J21" s="19" t="s">
        <v>543</v>
      </c>
      <c r="K21" s="19" t="s">
        <v>549</v>
      </c>
    </row>
    <row r="22" spans="1:11" x14ac:dyDescent="0.25">
      <c r="A22" s="57" t="str">
        <f>IF(B22="","",MAX($A$1:$A21)+1)</f>
        <v/>
      </c>
      <c r="G22" s="58" t="s">
        <v>503</v>
      </c>
      <c r="H22" s="56">
        <f>IF(G22="","",COUNTIF($G$1:$G21,G22))</f>
        <v>4</v>
      </c>
      <c r="I22" s="19" t="s">
        <v>538</v>
      </c>
      <c r="J22" s="19" t="s">
        <v>544</v>
      </c>
      <c r="K22" s="19" t="s">
        <v>550</v>
      </c>
    </row>
    <row r="23" spans="1:11" x14ac:dyDescent="0.25">
      <c r="A23" s="57" t="str">
        <f>IF(B23="","",MAX($A$1:$A22)+1)</f>
        <v/>
      </c>
      <c r="G23" s="58" t="s">
        <v>503</v>
      </c>
      <c r="H23" s="56">
        <f>IF(G23="","",COUNTIF($G$1:$G22,G23))</f>
        <v>5</v>
      </c>
      <c r="I23" s="19" t="s">
        <v>539</v>
      </c>
      <c r="J23" s="19" t="s">
        <v>545</v>
      </c>
      <c r="K23" s="19" t="s">
        <v>551</v>
      </c>
    </row>
    <row r="24" spans="1:11" x14ac:dyDescent="0.25">
      <c r="A24" s="57" t="str">
        <f>IF(B24="","",MAX($A$1:$A23)+1)</f>
        <v/>
      </c>
      <c r="G24" s="58" t="s">
        <v>512</v>
      </c>
      <c r="H24" s="56">
        <f>IF(G24="","",COUNTIF($G$1:$G23,G24))</f>
        <v>0</v>
      </c>
      <c r="I24" s="19" t="s">
        <v>554</v>
      </c>
    </row>
    <row r="25" spans="1:11" x14ac:dyDescent="0.25">
      <c r="A25" s="57" t="str">
        <f>IF(B25="","",MAX($A$1:$A24)+1)</f>
        <v/>
      </c>
      <c r="G25" s="58" t="s">
        <v>512</v>
      </c>
      <c r="H25" s="56">
        <f>IF(G25="","",COUNTIF($G$1:$G24,G25))</f>
        <v>1</v>
      </c>
      <c r="I25" s="19" t="s">
        <v>553</v>
      </c>
    </row>
    <row r="26" spans="1:11" x14ac:dyDescent="0.25">
      <c r="A26" s="57" t="str">
        <f>IF(B26="","",MAX($A$1:$A25)+1)</f>
        <v/>
      </c>
      <c r="G26" s="58" t="s">
        <v>512</v>
      </c>
      <c r="H26" s="56">
        <f>IF(G26="","",COUNTIF($G$1:$G25,G26))</f>
        <v>2</v>
      </c>
      <c r="I26" s="19" t="s">
        <v>555</v>
      </c>
    </row>
    <row r="27" spans="1:11" x14ac:dyDescent="0.25">
      <c r="A27" s="57" t="str">
        <f>IF(B27="","",MAX($A$1:$A26)+1)</f>
        <v/>
      </c>
    </row>
    <row r="28" spans="1:11" x14ac:dyDescent="0.25">
      <c r="A28" s="57" t="str">
        <f>IF(B28="","",MAX($A$1:$A27)+1)</f>
        <v/>
      </c>
    </row>
    <row r="29" spans="1:11" x14ac:dyDescent="0.25">
      <c r="A29" s="57" t="str">
        <f>IF(B29="","",MAX($A$1:$A28)+1)</f>
        <v/>
      </c>
    </row>
    <row r="30" spans="1:11" x14ac:dyDescent="0.25">
      <c r="A30" s="57" t="str">
        <f>IF(B30="","",MAX($A$1:$A29)+1)</f>
        <v/>
      </c>
    </row>
  </sheetData>
  <phoneticPr fontId="4" type="noConversion"/>
  <dataValidations count="1">
    <dataValidation type="list" allowBlank="1" showInputMessage="1" showErrorMessage="1" sqref="G2:G1048576" xr:uid="{2E1481BE-F320-4935-AA0D-7FAB9868EFE1}">
      <formula1>$B:$B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Tables</vt:lpstr>
      <vt:lpstr>Fields</vt:lpstr>
      <vt:lpstr>Indexes</vt:lpstr>
      <vt:lpstr>Enumerate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joao.ivo</dc:creator>
  <cp:lastModifiedBy>joao.ivo</cp:lastModifiedBy>
  <dcterms:created xsi:type="dcterms:W3CDTF">2022-11-23T22:15:33Z</dcterms:created>
  <dcterms:modified xsi:type="dcterms:W3CDTF">2022-12-08T18:18:12Z</dcterms:modified>
</cp:coreProperties>
</file>